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16AA0912-6A63-4851-B6B8-5C6D350FB7E1}" xr6:coauthVersionLast="47" xr6:coauthVersionMax="47" xr10:uidLastSave="{00000000-0000-0000-0000-000000000000}"/>
  <bookViews>
    <workbookView xWindow="-108" yWindow="-108" windowWidth="23256" windowHeight="12456" xr2:uid="{C1872498-2509-4B7E-9805-86518879B42F}"/>
  </bookViews>
  <sheets>
    <sheet name="Planilla Mensual" sheetId="1" r:id="rId1"/>
  </sheets>
  <externalReferences>
    <externalReference r:id="rId2"/>
  </externalReferences>
  <definedNames>
    <definedName name="_xlnm._FilterDatabase" localSheetId="0" hidden="1">'Planilla Mensual'!$B$2:$BJ$37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H38" i="1" l="1"/>
  <c r="BI38" i="1" s="1"/>
  <c r="BH37" i="1"/>
  <c r="AX37" i="1"/>
  <c r="AV37" i="1"/>
  <c r="AU37" i="1"/>
  <c r="AT37" i="1"/>
  <c r="AB37" i="1"/>
  <c r="Z37" i="1"/>
  <c r="Y37" i="1"/>
  <c r="W37" i="1"/>
  <c r="V37" i="1"/>
  <c r="U37" i="1"/>
  <c r="AA37" i="1" s="1"/>
  <c r="T37" i="1"/>
  <c r="BD37" i="1" s="1"/>
  <c r="BJ37" i="1" s="1"/>
  <c r="R37" i="1"/>
  <c r="BH36" i="1"/>
  <c r="AV36" i="1"/>
  <c r="AU36" i="1"/>
  <c r="AX36" i="1" s="1"/>
  <c r="AT36" i="1"/>
  <c r="AB36" i="1"/>
  <c r="Z36" i="1"/>
  <c r="Y36" i="1"/>
  <c r="W36" i="1"/>
  <c r="V36" i="1"/>
  <c r="U36" i="1"/>
  <c r="AA36" i="1" s="1"/>
  <c r="T36" i="1"/>
  <c r="R36" i="1"/>
  <c r="BD36" i="1" s="1"/>
  <c r="BJ36" i="1" s="1"/>
  <c r="BH35" i="1"/>
  <c r="AV35" i="1"/>
  <c r="BJ35" i="1" s="1"/>
  <c r="AU35" i="1"/>
  <c r="AX35" i="1" s="1"/>
  <c r="BI35" i="1" s="1"/>
  <c r="AT35" i="1"/>
  <c r="AB35" i="1"/>
  <c r="Z35" i="1"/>
  <c r="Y35" i="1"/>
  <c r="W35" i="1"/>
  <c r="V35" i="1"/>
  <c r="U35" i="1"/>
  <c r="T35" i="1"/>
  <c r="AC35" i="1" s="1"/>
  <c r="R35" i="1"/>
  <c r="BD35" i="1" s="1"/>
  <c r="O35" i="1"/>
  <c r="BH34" i="1"/>
  <c r="BD34" i="1"/>
  <c r="AV34" i="1"/>
  <c r="BJ34" i="1" s="1"/>
  <c r="AU34" i="1"/>
  <c r="AX34" i="1" s="1"/>
  <c r="BI34" i="1" s="1"/>
  <c r="AT34" i="1"/>
  <c r="AB34" i="1"/>
  <c r="AA34" i="1"/>
  <c r="Z34" i="1"/>
  <c r="AC34" i="1" s="1"/>
  <c r="Y34" i="1"/>
  <c r="W34" i="1"/>
  <c r="V34" i="1"/>
  <c r="U34" i="1"/>
  <c r="T34" i="1"/>
  <c r="R34" i="1"/>
  <c r="O34" i="1"/>
  <c r="BH33" i="1"/>
  <c r="AX33" i="1"/>
  <c r="BI33" i="1" s="1"/>
  <c r="AV33" i="1"/>
  <c r="BJ33" i="1" s="1"/>
  <c r="AU33" i="1"/>
  <c r="AT33" i="1"/>
  <c r="AB33" i="1"/>
  <c r="Z33" i="1"/>
  <c r="Y33" i="1"/>
  <c r="W33" i="1"/>
  <c r="U33" i="1"/>
  <c r="AA33" i="1" s="1"/>
  <c r="T33" i="1"/>
  <c r="X33" i="1" s="1"/>
  <c r="S33" i="1"/>
  <c r="V33" i="1" s="1"/>
  <c r="R33" i="1"/>
  <c r="BD33" i="1" s="1"/>
  <c r="O33" i="1"/>
  <c r="BH32" i="1"/>
  <c r="AX32" i="1"/>
  <c r="AV32" i="1"/>
  <c r="AU32" i="1"/>
  <c r="AT32" i="1"/>
  <c r="AB32" i="1"/>
  <c r="Z32" i="1"/>
  <c r="Y32" i="1"/>
  <c r="W32" i="1"/>
  <c r="V32" i="1"/>
  <c r="U32" i="1"/>
  <c r="AA32" i="1" s="1"/>
  <c r="T32" i="1"/>
  <c r="BD32" i="1" s="1"/>
  <c r="BJ32" i="1" s="1"/>
  <c r="R32" i="1"/>
  <c r="O32" i="1"/>
  <c r="BH31" i="1"/>
  <c r="AV31" i="1"/>
  <c r="AU31" i="1"/>
  <c r="AX31" i="1" s="1"/>
  <c r="AT31" i="1"/>
  <c r="AB31" i="1"/>
  <c r="Z31" i="1"/>
  <c r="Y31" i="1"/>
  <c r="W31" i="1"/>
  <c r="V31" i="1"/>
  <c r="U31" i="1"/>
  <c r="AA31" i="1" s="1"/>
  <c r="T31" i="1"/>
  <c r="X31" i="1" s="1"/>
  <c r="S31" i="1"/>
  <c r="R31" i="1"/>
  <c r="BD31" i="1" s="1"/>
  <c r="BJ31" i="1" s="1"/>
  <c r="O31" i="1"/>
  <c r="BH30" i="1"/>
  <c r="AV30" i="1"/>
  <c r="BJ30" i="1" s="1"/>
  <c r="AU30" i="1"/>
  <c r="AX30" i="1" s="1"/>
  <c r="AT30" i="1"/>
  <c r="AB30" i="1"/>
  <c r="Z30" i="1"/>
  <c r="Y30" i="1"/>
  <c r="W30" i="1"/>
  <c r="V30" i="1"/>
  <c r="U30" i="1"/>
  <c r="AA30" i="1" s="1"/>
  <c r="T30" i="1"/>
  <c r="S30" i="1"/>
  <c r="R30" i="1"/>
  <c r="BD30" i="1" s="1"/>
  <c r="O30" i="1"/>
  <c r="BH29" i="1"/>
  <c r="AV29" i="1"/>
  <c r="BJ29" i="1" s="1"/>
  <c r="AU29" i="1"/>
  <c r="AX29" i="1" s="1"/>
  <c r="BI29" i="1" s="1"/>
  <c r="AT29" i="1"/>
  <c r="AB29" i="1"/>
  <c r="Z29" i="1"/>
  <c r="Y29" i="1"/>
  <c r="W29" i="1"/>
  <c r="U29" i="1"/>
  <c r="AA29" i="1" s="1"/>
  <c r="T29" i="1"/>
  <c r="X29" i="1" s="1"/>
  <c r="S29" i="1"/>
  <c r="R29" i="1"/>
  <c r="BD29" i="1" s="1"/>
  <c r="O29" i="1"/>
  <c r="BH28" i="1"/>
  <c r="AX28" i="1"/>
  <c r="AV28" i="1"/>
  <c r="AU28" i="1"/>
  <c r="AT28" i="1"/>
  <c r="AB28" i="1"/>
  <c r="Z28" i="1"/>
  <c r="Y28" i="1"/>
  <c r="X28" i="1"/>
  <c r="W28" i="1"/>
  <c r="U28" i="1"/>
  <c r="AA28" i="1" s="1"/>
  <c r="T28" i="1"/>
  <c r="S28" i="1"/>
  <c r="V28" i="1" s="1"/>
  <c r="Q28" i="1"/>
  <c r="R28" i="1" s="1"/>
  <c r="BD28" i="1" s="1"/>
  <c r="O28" i="1"/>
  <c r="BH27" i="1"/>
  <c r="BF27" i="1"/>
  <c r="AV27" i="1"/>
  <c r="AU27" i="1"/>
  <c r="AX27" i="1" s="1"/>
  <c r="AT27" i="1"/>
  <c r="AB27" i="1"/>
  <c r="Z27" i="1"/>
  <c r="Y27" i="1"/>
  <c r="X27" i="1"/>
  <c r="W27" i="1"/>
  <c r="U27" i="1"/>
  <c r="AA27" i="1" s="1"/>
  <c r="T27" i="1"/>
  <c r="S27" i="1"/>
  <c r="O27" i="1"/>
  <c r="BH26" i="1"/>
  <c r="BF26" i="1"/>
  <c r="AX26" i="1"/>
  <c r="AV26" i="1"/>
  <c r="BJ26" i="1" s="1"/>
  <c r="AU26" i="1"/>
  <c r="AT26" i="1"/>
  <c r="AB26" i="1"/>
  <c r="Z26" i="1"/>
  <c r="Y26" i="1"/>
  <c r="W26" i="1"/>
  <c r="V26" i="1"/>
  <c r="U26" i="1"/>
  <c r="AA26" i="1" s="1"/>
  <c r="T26" i="1"/>
  <c r="X26" i="1" s="1"/>
  <c r="S26" i="1"/>
  <c r="BD26" i="1" s="1"/>
  <c r="BI26" i="1" s="1"/>
  <c r="O26" i="1"/>
  <c r="BH25" i="1"/>
  <c r="BF25" i="1"/>
  <c r="AV25" i="1"/>
  <c r="AU25" i="1"/>
  <c r="AX25" i="1" s="1"/>
  <c r="AT25" i="1"/>
  <c r="AB25" i="1"/>
  <c r="Z25" i="1"/>
  <c r="Y25" i="1"/>
  <c r="W25" i="1"/>
  <c r="V25" i="1"/>
  <c r="U25" i="1"/>
  <c r="T25" i="1"/>
  <c r="X25" i="1" s="1"/>
  <c r="S25" i="1"/>
  <c r="O25" i="1"/>
  <c r="BH24" i="1"/>
  <c r="BF24" i="1"/>
  <c r="AV24" i="1"/>
  <c r="AU24" i="1"/>
  <c r="AX24" i="1" s="1"/>
  <c r="AT24" i="1"/>
  <c r="AB24" i="1"/>
  <c r="AA24" i="1"/>
  <c r="Z24" i="1"/>
  <c r="Y24" i="1"/>
  <c r="W24" i="1"/>
  <c r="V24" i="1"/>
  <c r="U24" i="1"/>
  <c r="T24" i="1"/>
  <c r="S24" i="1"/>
  <c r="O24" i="1"/>
  <c r="BH23" i="1"/>
  <c r="BF23" i="1"/>
  <c r="AV23" i="1"/>
  <c r="BJ23" i="1" s="1"/>
  <c r="AU23" i="1"/>
  <c r="AX23" i="1" s="1"/>
  <c r="BI23" i="1" s="1"/>
  <c r="AT23" i="1"/>
  <c r="AB23" i="1"/>
  <c r="Z23" i="1"/>
  <c r="Y23" i="1"/>
  <c r="W23" i="1"/>
  <c r="U23" i="1"/>
  <c r="AA23" i="1" s="1"/>
  <c r="T23" i="1"/>
  <c r="X23" i="1" s="1"/>
  <c r="S23" i="1"/>
  <c r="BD23" i="1" s="1"/>
  <c r="O23" i="1"/>
  <c r="BH22" i="1"/>
  <c r="BF22" i="1"/>
  <c r="AX22" i="1"/>
  <c r="AV22" i="1"/>
  <c r="AU22" i="1"/>
  <c r="AT22" i="1"/>
  <c r="AB22" i="1"/>
  <c r="Z22" i="1"/>
  <c r="Y22" i="1"/>
  <c r="X22" i="1"/>
  <c r="W22" i="1"/>
  <c r="U22" i="1"/>
  <c r="AA22" i="1" s="1"/>
  <c r="T22" i="1"/>
  <c r="S22" i="1"/>
  <c r="V22" i="1" s="1"/>
  <c r="O22" i="1"/>
  <c r="BH21" i="1"/>
  <c r="BF21" i="1"/>
  <c r="AV21" i="1"/>
  <c r="AU21" i="1"/>
  <c r="AX21" i="1" s="1"/>
  <c r="AT21" i="1"/>
  <c r="AB21" i="1"/>
  <c r="Z21" i="1"/>
  <c r="Y21" i="1"/>
  <c r="X21" i="1"/>
  <c r="W21" i="1"/>
  <c r="U21" i="1"/>
  <c r="AA21" i="1" s="1"/>
  <c r="T21" i="1"/>
  <c r="S21" i="1"/>
  <c r="V21" i="1" s="1"/>
  <c r="O21" i="1"/>
  <c r="BH20" i="1"/>
  <c r="BF20" i="1"/>
  <c r="AV20" i="1"/>
  <c r="AU20" i="1"/>
  <c r="AX20" i="1" s="1"/>
  <c r="AT20" i="1"/>
  <c r="AB20" i="1"/>
  <c r="Z20" i="1"/>
  <c r="Y20" i="1"/>
  <c r="X20" i="1"/>
  <c r="W20" i="1"/>
  <c r="U20" i="1"/>
  <c r="AA20" i="1" s="1"/>
  <c r="T20" i="1"/>
  <c r="S20" i="1"/>
  <c r="BD20" i="1" s="1"/>
  <c r="BJ20" i="1" s="1"/>
  <c r="O20" i="1"/>
  <c r="BH19" i="1"/>
  <c r="BB19" i="1"/>
  <c r="AR19" i="1"/>
  <c r="AO19" i="1"/>
  <c r="AI19" i="1"/>
  <c r="AF19" i="1"/>
  <c r="AB19" i="1"/>
  <c r="Z19" i="1"/>
  <c r="AG19" i="1" s="1"/>
  <c r="Y19" i="1"/>
  <c r="X19" i="1"/>
  <c r="W19" i="1"/>
  <c r="U19" i="1"/>
  <c r="AA19" i="1" s="1"/>
  <c r="T19" i="1"/>
  <c r="S19" i="1"/>
  <c r="V19" i="1" s="1"/>
  <c r="O19" i="1"/>
  <c r="BO18" i="1"/>
  <c r="BH18" i="1"/>
  <c r="BB18" i="1"/>
  <c r="BC18" i="1" s="1"/>
  <c r="AO18" i="1"/>
  <c r="AI18" i="1"/>
  <c r="AF18" i="1"/>
  <c r="AB18" i="1"/>
  <c r="Z18" i="1"/>
  <c r="AG18" i="1" s="1"/>
  <c r="Y18" i="1"/>
  <c r="X18" i="1"/>
  <c r="W18" i="1"/>
  <c r="U18" i="1"/>
  <c r="AA18" i="1" s="1"/>
  <c r="T18" i="1"/>
  <c r="S18" i="1"/>
  <c r="V18" i="1" s="1"/>
  <c r="O18" i="1"/>
  <c r="BH17" i="1"/>
  <c r="BB17" i="1"/>
  <c r="BC17" i="1" s="1"/>
  <c r="AR17" i="1"/>
  <c r="AO17" i="1"/>
  <c r="AL17" i="1"/>
  <c r="AK17" i="1"/>
  <c r="AV17" i="1" s="1"/>
  <c r="AI17" i="1"/>
  <c r="AF17" i="1"/>
  <c r="AE17" i="1"/>
  <c r="AB17" i="1"/>
  <c r="Z17" i="1"/>
  <c r="AG17" i="1" s="1"/>
  <c r="AJ17" i="1" s="1"/>
  <c r="Y17" i="1"/>
  <c r="W17" i="1"/>
  <c r="U17" i="1"/>
  <c r="T17" i="1"/>
  <c r="BD17" i="1" s="1"/>
  <c r="S17" i="1"/>
  <c r="O17" i="1"/>
  <c r="BH16" i="1"/>
  <c r="BB16" i="1"/>
  <c r="AR16" i="1"/>
  <c r="AO16" i="1"/>
  <c r="AI16" i="1"/>
  <c r="AG16" i="1"/>
  <c r="AF16" i="1"/>
  <c r="AB16" i="1"/>
  <c r="Z16" i="1"/>
  <c r="Y16" i="1"/>
  <c r="W16" i="1"/>
  <c r="U16" i="1"/>
  <c r="AA16" i="1" s="1"/>
  <c r="T16" i="1"/>
  <c r="X16" i="1" s="1"/>
  <c r="S16" i="1"/>
  <c r="BE16" i="1" s="1"/>
  <c r="O16" i="1"/>
  <c r="BH15" i="1"/>
  <c r="AR15" i="1"/>
  <c r="AO15" i="1"/>
  <c r="AI15" i="1"/>
  <c r="AH15" i="1"/>
  <c r="AF15" i="1"/>
  <c r="AB15" i="1"/>
  <c r="Z15" i="1"/>
  <c r="AG15" i="1" s="1"/>
  <c r="Y15" i="1"/>
  <c r="X15" i="1"/>
  <c r="W15" i="1"/>
  <c r="U15" i="1"/>
  <c r="AA15" i="1" s="1"/>
  <c r="T15" i="1"/>
  <c r="S15" i="1"/>
  <c r="V15" i="1" s="1"/>
  <c r="O15" i="1"/>
  <c r="BH14" i="1"/>
  <c r="BB14" i="1"/>
  <c r="AR14" i="1"/>
  <c r="AN14" i="1"/>
  <c r="AM14" i="1"/>
  <c r="AI14" i="1"/>
  <c r="AF14" i="1"/>
  <c r="AB14" i="1"/>
  <c r="Z14" i="1"/>
  <c r="AG14" i="1" s="1"/>
  <c r="Y14" i="1"/>
  <c r="W14" i="1"/>
  <c r="U14" i="1"/>
  <c r="AA14" i="1" s="1"/>
  <c r="T14" i="1"/>
  <c r="X14" i="1" s="1"/>
  <c r="S14" i="1"/>
  <c r="V14" i="1" s="1"/>
  <c r="O14" i="1"/>
  <c r="BH13" i="1"/>
  <c r="BB13" i="1"/>
  <c r="AO13" i="1"/>
  <c r="AI13" i="1"/>
  <c r="AG13" i="1"/>
  <c r="AF13" i="1"/>
  <c r="AB13" i="1"/>
  <c r="Z13" i="1"/>
  <c r="Y13" i="1"/>
  <c r="X13" i="1"/>
  <c r="W13" i="1"/>
  <c r="U13" i="1"/>
  <c r="AA13" i="1" s="1"/>
  <c r="T13" i="1"/>
  <c r="S13" i="1"/>
  <c r="BE13" i="1" s="1"/>
  <c r="O13" i="1"/>
  <c r="BH12" i="1"/>
  <c r="BB12" i="1"/>
  <c r="AO12" i="1"/>
  <c r="AL12" i="1"/>
  <c r="AI12" i="1"/>
  <c r="AF12" i="1"/>
  <c r="AB12" i="1"/>
  <c r="Z12" i="1"/>
  <c r="AG12" i="1" s="1"/>
  <c r="Y12" i="1"/>
  <c r="W12" i="1"/>
  <c r="V12" i="1"/>
  <c r="AK12" i="1" s="1"/>
  <c r="AV12" i="1" s="1"/>
  <c r="U12" i="1"/>
  <c r="AA12" i="1" s="1"/>
  <c r="T12" i="1"/>
  <c r="BD12" i="1" s="1"/>
  <c r="S12" i="1"/>
  <c r="O12" i="1"/>
  <c r="BH11" i="1"/>
  <c r="BB11" i="1"/>
  <c r="AO11" i="1"/>
  <c r="AI11" i="1"/>
  <c r="AF11" i="1"/>
  <c r="AB11" i="1"/>
  <c r="AA11" i="1"/>
  <c r="Z11" i="1"/>
  <c r="AG11" i="1" s="1"/>
  <c r="Y11" i="1"/>
  <c r="X11" i="1"/>
  <c r="W11" i="1"/>
  <c r="U11" i="1"/>
  <c r="T11" i="1"/>
  <c r="S11" i="1"/>
  <c r="V11" i="1" s="1"/>
  <c r="O11" i="1"/>
  <c r="BH10" i="1"/>
  <c r="BD10" i="1"/>
  <c r="BB10" i="1"/>
  <c r="BC10" i="1" s="1"/>
  <c r="AO10" i="1"/>
  <c r="AI10" i="1"/>
  <c r="AF10" i="1"/>
  <c r="AB10" i="1"/>
  <c r="AA10" i="1"/>
  <c r="AC10" i="1" s="1"/>
  <c r="Z10" i="1"/>
  <c r="AG10" i="1" s="1"/>
  <c r="Y10" i="1"/>
  <c r="X10" i="1"/>
  <c r="W10" i="1"/>
  <c r="V10" i="1"/>
  <c r="AL10" i="1" s="1"/>
  <c r="U10" i="1"/>
  <c r="T10" i="1"/>
  <c r="S10" i="1"/>
  <c r="BE10" i="1" s="1"/>
  <c r="O10" i="1"/>
  <c r="BH9" i="1"/>
  <c r="BE9" i="1"/>
  <c r="BD9" i="1"/>
  <c r="BB9" i="1"/>
  <c r="AO9" i="1"/>
  <c r="AI9" i="1"/>
  <c r="AG9" i="1"/>
  <c r="AF9" i="1"/>
  <c r="AB9" i="1"/>
  <c r="Z9" i="1"/>
  <c r="Y9" i="1"/>
  <c r="X9" i="1"/>
  <c r="W9" i="1"/>
  <c r="U9" i="1"/>
  <c r="AA9" i="1" s="1"/>
  <c r="T9" i="1"/>
  <c r="S9" i="1"/>
  <c r="O9" i="1"/>
  <c r="BH8" i="1"/>
  <c r="BB8" i="1"/>
  <c r="AO8" i="1"/>
  <c r="AI8" i="1"/>
  <c r="AG8" i="1"/>
  <c r="AF8" i="1"/>
  <c r="AB8" i="1"/>
  <c r="Z8" i="1"/>
  <c r="Y8" i="1"/>
  <c r="W8" i="1"/>
  <c r="U8" i="1"/>
  <c r="AA8" i="1" s="1"/>
  <c r="T8" i="1"/>
  <c r="X8" i="1" s="1"/>
  <c r="S8" i="1"/>
  <c r="BE8" i="1" s="1"/>
  <c r="O8" i="1"/>
  <c r="BH7" i="1"/>
  <c r="BB7" i="1"/>
  <c r="BC7" i="1" s="1"/>
  <c r="AO7" i="1"/>
  <c r="AI7" i="1"/>
  <c r="AF7" i="1"/>
  <c r="AB7" i="1"/>
  <c r="AA7" i="1"/>
  <c r="Z7" i="1"/>
  <c r="AG7" i="1" s="1"/>
  <c r="Y7" i="1"/>
  <c r="X7" i="1"/>
  <c r="W7" i="1"/>
  <c r="U7" i="1"/>
  <c r="T7" i="1"/>
  <c r="S7" i="1"/>
  <c r="V7" i="1" s="1"/>
  <c r="O7" i="1"/>
  <c r="BH6" i="1"/>
  <c r="BD6" i="1"/>
  <c r="BB6" i="1"/>
  <c r="BC6" i="1" s="1"/>
  <c r="AO6" i="1"/>
  <c r="AI6" i="1"/>
  <c r="AF6" i="1"/>
  <c r="AB6" i="1"/>
  <c r="AA6" i="1"/>
  <c r="AC6" i="1" s="1"/>
  <c r="Z6" i="1"/>
  <c r="AG6" i="1" s="1"/>
  <c r="Y6" i="1"/>
  <c r="X6" i="1"/>
  <c r="W6" i="1"/>
  <c r="V6" i="1"/>
  <c r="AL6" i="1" s="1"/>
  <c r="U6" i="1"/>
  <c r="T6" i="1"/>
  <c r="S6" i="1"/>
  <c r="BE6" i="1" s="1"/>
  <c r="O6" i="1"/>
  <c r="BH5" i="1"/>
  <c r="BE5" i="1"/>
  <c r="BD5" i="1"/>
  <c r="BB5" i="1"/>
  <c r="AN5" i="1"/>
  <c r="AM5" i="1"/>
  <c r="AI5" i="1"/>
  <c r="AG5" i="1"/>
  <c r="AF5" i="1"/>
  <c r="AB5" i="1"/>
  <c r="Z5" i="1"/>
  <c r="Y5" i="1"/>
  <c r="X5" i="1"/>
  <c r="W5" i="1"/>
  <c r="U5" i="1"/>
  <c r="AA5" i="1" s="1"/>
  <c r="T5" i="1"/>
  <c r="S5" i="1"/>
  <c r="O5" i="1"/>
  <c r="BH4" i="1"/>
  <c r="BB4" i="1"/>
  <c r="AO4" i="1"/>
  <c r="AI4" i="1"/>
  <c r="AG4" i="1"/>
  <c r="AF4" i="1"/>
  <c r="AB4" i="1"/>
  <c r="Z4" i="1"/>
  <c r="Y4" i="1"/>
  <c r="W4" i="1"/>
  <c r="U4" i="1"/>
  <c r="AA4" i="1" s="1"/>
  <c r="T4" i="1"/>
  <c r="X4" i="1" s="1"/>
  <c r="S4" i="1"/>
  <c r="BE4" i="1" s="1"/>
  <c r="O4" i="1"/>
  <c r="BH3" i="1"/>
  <c r="BE3" i="1"/>
  <c r="BD3" i="1"/>
  <c r="BB3" i="1"/>
  <c r="AV3" i="1"/>
  <c r="AO3" i="1"/>
  <c r="AL3" i="1"/>
  <c r="AK3" i="1"/>
  <c r="AG3" i="1"/>
  <c r="AF3" i="1"/>
  <c r="Z3" i="1"/>
  <c r="Y3" i="1"/>
  <c r="AC3" i="1" s="1"/>
  <c r="O3" i="1"/>
  <c r="AC21" i="1" l="1"/>
  <c r="BC14" i="1"/>
  <c r="AK19" i="1"/>
  <c r="AV19" i="1" s="1"/>
  <c r="AL19" i="1"/>
  <c r="BC19" i="1"/>
  <c r="AE19" i="1"/>
  <c r="AJ19" i="1" s="1"/>
  <c r="AK18" i="1"/>
  <c r="AV18" i="1" s="1"/>
  <c r="AE18" i="1"/>
  <c r="AJ18" i="1" s="1"/>
  <c r="AC18" i="1"/>
  <c r="AL18" i="1"/>
  <c r="BC11" i="1"/>
  <c r="AL15" i="1"/>
  <c r="AK15" i="1"/>
  <c r="AV15" i="1" s="1"/>
  <c r="BC15" i="1"/>
  <c r="AE15" i="1"/>
  <c r="AJ15" i="1" s="1"/>
  <c r="BJ28" i="1"/>
  <c r="BI28" i="1"/>
  <c r="BJ24" i="1"/>
  <c r="AC36" i="1"/>
  <c r="AW17" i="1"/>
  <c r="AN17" i="1"/>
  <c r="AM17" i="1"/>
  <c r="AT17" i="1" s="1"/>
  <c r="BJ17" i="1"/>
  <c r="BK17" i="1" s="1"/>
  <c r="BL17" i="1" s="1"/>
  <c r="BI32" i="1"/>
  <c r="AE14" i="1"/>
  <c r="AJ14" i="1" s="1"/>
  <c r="AL14" i="1"/>
  <c r="AK14" i="1"/>
  <c r="AV14" i="1" s="1"/>
  <c r="AC14" i="1"/>
  <c r="BI21" i="1"/>
  <c r="BI31" i="1"/>
  <c r="AL7" i="1"/>
  <c r="AK7" i="1"/>
  <c r="AV7" i="1" s="1"/>
  <c r="AE7" i="1"/>
  <c r="AJ7" i="1" s="1"/>
  <c r="AC7" i="1"/>
  <c r="AL11" i="1"/>
  <c r="AC11" i="1"/>
  <c r="AK11" i="1"/>
  <c r="AV11" i="1" s="1"/>
  <c r="AE11" i="1"/>
  <c r="AJ11" i="1" s="1"/>
  <c r="BI20" i="1"/>
  <c r="BI30" i="1"/>
  <c r="BI37" i="1"/>
  <c r="AC33" i="1"/>
  <c r="BI36" i="1"/>
  <c r="AA25" i="1"/>
  <c r="AC25" i="1" s="1"/>
  <c r="BD18" i="1"/>
  <c r="V4" i="1"/>
  <c r="AE6" i="1"/>
  <c r="AJ6" i="1" s="1"/>
  <c r="V8" i="1"/>
  <c r="AC8" i="1" s="1"/>
  <c r="AE10" i="1"/>
  <c r="AJ10" i="1" s="1"/>
  <c r="BD14" i="1"/>
  <c r="V16" i="1"/>
  <c r="AC16" i="1" s="1"/>
  <c r="BE18" i="1"/>
  <c r="V23" i="1"/>
  <c r="AC23" i="1" s="1"/>
  <c r="BD27" i="1"/>
  <c r="BI27" i="1" s="1"/>
  <c r="V29" i="1"/>
  <c r="AC29" i="1" s="1"/>
  <c r="V20" i="1"/>
  <c r="AC20" i="1" s="1"/>
  <c r="BD24" i="1"/>
  <c r="BI24" i="1" s="1"/>
  <c r="AC31" i="1"/>
  <c r="X12" i="1"/>
  <c r="AC12" i="1" s="1"/>
  <c r="BE14" i="1"/>
  <c r="V13" i="1"/>
  <c r="AC13" i="1" s="1"/>
  <c r="AC15" i="1"/>
  <c r="BD21" i="1"/>
  <c r="BJ21" i="1" s="1"/>
  <c r="AC22" i="1"/>
  <c r="AC28" i="1"/>
  <c r="AC37" i="1"/>
  <c r="V27" i="1"/>
  <c r="AC27" i="1" s="1"/>
  <c r="AC32" i="1"/>
  <c r="AK10" i="1"/>
  <c r="AV10" i="1" s="1"/>
  <c r="BD11" i="1"/>
  <c r="BD15" i="1"/>
  <c r="AK6" i="1"/>
  <c r="AV6" i="1" s="1"/>
  <c r="BD7" i="1"/>
  <c r="AE3" i="1"/>
  <c r="AJ3" i="1" s="1"/>
  <c r="BE7" i="1"/>
  <c r="BE15" i="1"/>
  <c r="BD19" i="1"/>
  <c r="BD25" i="1"/>
  <c r="BJ25" i="1" s="1"/>
  <c r="AC26" i="1"/>
  <c r="AC19" i="1"/>
  <c r="V5" i="1"/>
  <c r="V9" i="1"/>
  <c r="AC4" i="1"/>
  <c r="BE19" i="1"/>
  <c r="BD22" i="1"/>
  <c r="X24" i="1"/>
  <c r="AC24" i="1" s="1"/>
  <c r="X30" i="1"/>
  <c r="AC30" i="1" s="1"/>
  <c r="BD8" i="1"/>
  <c r="BD4" i="1"/>
  <c r="AC17" i="1"/>
  <c r="BD16" i="1"/>
  <c r="BD13" i="1"/>
  <c r="BI22" i="1" l="1"/>
  <c r="BJ22" i="1"/>
  <c r="AM3" i="1"/>
  <c r="AN3" i="1"/>
  <c r="AW3" i="1"/>
  <c r="BJ3" i="1" s="1"/>
  <c r="AU3" i="1"/>
  <c r="AX3" i="1" s="1"/>
  <c r="BI3" i="1" s="1"/>
  <c r="AN19" i="1"/>
  <c r="AM19" i="1"/>
  <c r="AT19" i="1" s="1"/>
  <c r="AW19" i="1"/>
  <c r="BJ19" i="1" s="1"/>
  <c r="BK19" i="1" s="1"/>
  <c r="BL19" i="1" s="1"/>
  <c r="AU19" i="1"/>
  <c r="AX19" i="1" s="1"/>
  <c r="BI19" i="1" s="1"/>
  <c r="AW14" i="1"/>
  <c r="BJ14" i="1" s="1"/>
  <c r="BK14" i="1" s="1"/>
  <c r="BL14" i="1" s="1"/>
  <c r="AO14" i="1"/>
  <c r="AT14" i="1" s="1"/>
  <c r="BC12" i="1"/>
  <c r="BI25" i="1"/>
  <c r="AN15" i="1"/>
  <c r="AM15" i="1"/>
  <c r="AT15" i="1" s="1"/>
  <c r="AW15" i="1"/>
  <c r="BJ15" i="1" s="1"/>
  <c r="BK15" i="1" s="1"/>
  <c r="BL15" i="1" s="1"/>
  <c r="AU15" i="1"/>
  <c r="AX15" i="1" s="1"/>
  <c r="BC13" i="1"/>
  <c r="AE12" i="1"/>
  <c r="AJ12" i="1" s="1"/>
  <c r="AN11" i="1"/>
  <c r="AM11" i="1"/>
  <c r="AT11" i="1" s="1"/>
  <c r="AW11" i="1"/>
  <c r="BJ11" i="1" s="1"/>
  <c r="BK11" i="1" s="1"/>
  <c r="BL11" i="1" s="1"/>
  <c r="AU11" i="1"/>
  <c r="AX11" i="1" s="1"/>
  <c r="BI11" i="1" s="1"/>
  <c r="BI15" i="1"/>
  <c r="AK16" i="1"/>
  <c r="BC16" i="1"/>
  <c r="AE16" i="1"/>
  <c r="AJ16" i="1" s="1"/>
  <c r="AL16" i="1"/>
  <c r="BJ27" i="1"/>
  <c r="BC5" i="1"/>
  <c r="AE5" i="1"/>
  <c r="AJ5" i="1" s="1"/>
  <c r="AL5" i="1"/>
  <c r="AK5" i="1"/>
  <c r="AV5" i="1" s="1"/>
  <c r="AN10" i="1"/>
  <c r="AM10" i="1"/>
  <c r="AT10" i="1" s="1"/>
  <c r="AW10" i="1"/>
  <c r="BJ10" i="1" s="1"/>
  <c r="BK10" i="1" s="1"/>
  <c r="BL10" i="1" s="1"/>
  <c r="BC8" i="1"/>
  <c r="AE8" i="1"/>
  <c r="AJ8" i="1" s="1"/>
  <c r="AK8" i="1"/>
  <c r="AL8" i="1"/>
  <c r="BC9" i="1"/>
  <c r="AE9" i="1"/>
  <c r="AJ9" i="1" s="1"/>
  <c r="AL9" i="1"/>
  <c r="AK9" i="1"/>
  <c r="AV9" i="1" s="1"/>
  <c r="AU17" i="1"/>
  <c r="AX17" i="1" s="1"/>
  <c r="BI17" i="1" s="1"/>
  <c r="AN6" i="1"/>
  <c r="AM6" i="1"/>
  <c r="AT6" i="1" s="1"/>
  <c r="AW6" i="1"/>
  <c r="BJ6" i="1" s="1"/>
  <c r="BK6" i="1" s="1"/>
  <c r="BL6" i="1" s="1"/>
  <c r="AN7" i="1"/>
  <c r="AU7" i="1" s="1"/>
  <c r="AX7" i="1" s="1"/>
  <c r="BI7" i="1" s="1"/>
  <c r="BJ7" i="1"/>
  <c r="BK7" i="1" s="1"/>
  <c r="BL7" i="1" s="1"/>
  <c r="AM7" i="1"/>
  <c r="AW7" i="1"/>
  <c r="AC9" i="1"/>
  <c r="BC4" i="1"/>
  <c r="AE4" i="1"/>
  <c r="AJ4" i="1" s="1"/>
  <c r="AL4" i="1"/>
  <c r="AK4" i="1"/>
  <c r="AV4" i="1" s="1"/>
  <c r="AC5" i="1"/>
  <c r="AE13" i="1"/>
  <c r="AJ13" i="1" s="1"/>
  <c r="AL13" i="1"/>
  <c r="AK13" i="1"/>
  <c r="AV13" i="1" s="1"/>
  <c r="AW18" i="1"/>
  <c r="BJ18" i="1"/>
  <c r="BK18" i="1" s="1"/>
  <c r="BL18" i="1" s="1"/>
  <c r="AN18" i="1"/>
  <c r="AU18" i="1" s="1"/>
  <c r="AX18" i="1" s="1"/>
  <c r="BI18" i="1" s="1"/>
  <c r="BN18" i="1" s="1"/>
  <c r="AM18" i="1"/>
  <c r="BK3" i="1" l="1"/>
  <c r="BL3" i="1" s="1"/>
  <c r="AW13" i="1"/>
  <c r="AN13" i="1"/>
  <c r="AM13" i="1"/>
  <c r="AT13" i="1" s="1"/>
  <c r="BJ13" i="1"/>
  <c r="BK13" i="1" s="1"/>
  <c r="BL13" i="1" s="1"/>
  <c r="AU10" i="1"/>
  <c r="AX10" i="1" s="1"/>
  <c r="BI10" i="1" s="1"/>
  <c r="AW16" i="1"/>
  <c r="BJ16" i="1" s="1"/>
  <c r="BK16" i="1" s="1"/>
  <c r="BL16" i="1" s="1"/>
  <c r="AN16" i="1"/>
  <c r="AM16" i="1"/>
  <c r="AT16" i="1" s="1"/>
  <c r="AW5" i="1"/>
  <c r="BJ5" i="1" s="1"/>
  <c r="BK5" i="1" s="1"/>
  <c r="BL5" i="1" s="1"/>
  <c r="AO5" i="1"/>
  <c r="AT5" i="1" s="1"/>
  <c r="AW4" i="1"/>
  <c r="BJ4" i="1"/>
  <c r="BK4" i="1" s="1"/>
  <c r="BL4" i="1" s="1"/>
  <c r="AM4" i="1"/>
  <c r="AN4" i="1"/>
  <c r="AU6" i="1"/>
  <c r="AX6" i="1" s="1"/>
  <c r="BI6" i="1" s="1"/>
  <c r="AM12" i="1"/>
  <c r="AW12" i="1"/>
  <c r="BJ12" i="1" s="1"/>
  <c r="BK12" i="1" s="1"/>
  <c r="BL12" i="1" s="1"/>
  <c r="AN12" i="1"/>
  <c r="AU12" i="1" s="1"/>
  <c r="AX12" i="1" s="1"/>
  <c r="BI12" i="1" s="1"/>
  <c r="AM9" i="1"/>
  <c r="AT9" i="1" s="1"/>
  <c r="AW9" i="1"/>
  <c r="AN9" i="1"/>
  <c r="BJ9" i="1"/>
  <c r="BK9" i="1" s="1"/>
  <c r="BL9" i="1" s="1"/>
  <c r="AT3" i="1"/>
  <c r="AW8" i="1"/>
  <c r="BJ8" i="1" s="1"/>
  <c r="BK8" i="1" s="1"/>
  <c r="BL8" i="1" s="1"/>
  <c r="AM8" i="1"/>
  <c r="AN8" i="1"/>
  <c r="AV16" i="1"/>
  <c r="AU14" i="1"/>
  <c r="AX14" i="1" s="1"/>
  <c r="BI14" i="1" s="1"/>
  <c r="AV8" i="1"/>
  <c r="AT18" i="1"/>
  <c r="AT7" i="1"/>
  <c r="AU5" i="1" l="1"/>
  <c r="AX5" i="1" s="1"/>
  <c r="BI5" i="1" s="1"/>
  <c r="AT8" i="1"/>
  <c r="AU16" i="1"/>
  <c r="AX16" i="1" s="1"/>
  <c r="BI16" i="1" s="1"/>
  <c r="AU8" i="1"/>
  <c r="AX8" i="1" s="1"/>
  <c r="BI8" i="1" s="1"/>
  <c r="AT4" i="1"/>
  <c r="AU13" i="1"/>
  <c r="AX13" i="1" s="1"/>
  <c r="BI13" i="1" s="1"/>
  <c r="AT12" i="1"/>
  <c r="AU4" i="1"/>
  <c r="AX4" i="1" s="1"/>
  <c r="BI4" i="1" s="1"/>
  <c r="BI39" i="1" s="1"/>
  <c r="AU9" i="1"/>
  <c r="AX9" i="1" s="1"/>
  <c r="BI9" i="1" s="1"/>
  <c r="BJ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Abner Oberluis</author>
  </authors>
  <commentList>
    <comment ref="AR19" authorId="0" shapeId="0" xr:uid="{A71697CB-17DA-4371-AC78-5CAA19D0B4A2}">
      <text>
        <r>
          <rPr>
            <b/>
            <sz val="9"/>
            <color indexed="81"/>
            <rFont val="Tahoma"/>
            <family val="2"/>
          </rPr>
          <t>son 180+200+230(comedor) solo se descuenta la mitad</t>
        </r>
      </text>
    </comment>
  </commentList>
</comments>
</file>

<file path=xl/sharedStrings.xml><?xml version="1.0" encoding="utf-8"?>
<sst xmlns="http://schemas.openxmlformats.org/spreadsheetml/2006/main" count="305" uniqueCount="180">
  <si>
    <t>Periodo</t>
  </si>
  <si>
    <t>Sin planilla</t>
  </si>
  <si>
    <t>Planilla</t>
  </si>
  <si>
    <t>No remunerativo</t>
  </si>
  <si>
    <t>Aportes del trabajador</t>
  </si>
  <si>
    <t>Adelantos y descuentos</t>
  </si>
  <si>
    <t>Aporte empleador</t>
  </si>
  <si>
    <t>Valor HE</t>
  </si>
  <si>
    <t>TIPO</t>
  </si>
  <si>
    <t>DNI</t>
  </si>
  <si>
    <t>Apellidos y nombres</t>
  </si>
  <si>
    <t>F. Nacimiento</t>
  </si>
  <si>
    <t>Puesto</t>
  </si>
  <si>
    <t>AFP/ONP</t>
  </si>
  <si>
    <t>CUSPP</t>
  </si>
  <si>
    <t>Banco</t>
  </si>
  <si>
    <t>Cuenta</t>
  </si>
  <si>
    <t>CCI</t>
  </si>
  <si>
    <t>F. Ingreso</t>
  </si>
  <si>
    <t>F. INICIO</t>
  </si>
  <si>
    <t>F.FIN</t>
  </si>
  <si>
    <t>Asig Familiar (SI/NO)</t>
  </si>
  <si>
    <t>Basico</t>
  </si>
  <si>
    <t>Basico sin planilla</t>
  </si>
  <si>
    <t>Asistencia</t>
  </si>
  <si>
    <t>Descanso pagado</t>
  </si>
  <si>
    <t>No remunerado</t>
  </si>
  <si>
    <t>Dias Trab</t>
  </si>
  <si>
    <t>Vacaciones</t>
  </si>
  <si>
    <t>Días descanso pagado</t>
  </si>
  <si>
    <t>Feriado</t>
  </si>
  <si>
    <t>Feriado laborado</t>
  </si>
  <si>
    <t>Dias no laborados</t>
  </si>
  <si>
    <t>Falta Descuento bono</t>
  </si>
  <si>
    <t>TOTAL</t>
  </si>
  <si>
    <t>Horas extras</t>
  </si>
  <si>
    <t>Monto basico</t>
  </si>
  <si>
    <t>Monto Asig</t>
  </si>
  <si>
    <t>Bono asistencia</t>
  </si>
  <si>
    <t>Bono Horas</t>
  </si>
  <si>
    <t>Rem Bruta</t>
  </si>
  <si>
    <t>Movilidad</t>
  </si>
  <si>
    <t>Viaticos</t>
  </si>
  <si>
    <t>AFP (10%)</t>
  </si>
  <si>
    <t>Seg. AFP (1.37%)</t>
  </si>
  <si>
    <t>ONP</t>
  </si>
  <si>
    <t>Renta 5ta</t>
  </si>
  <si>
    <t>Otros Descuentos</t>
  </si>
  <si>
    <t>Adelantos viaticos</t>
  </si>
  <si>
    <t>Adelanto quincena</t>
  </si>
  <si>
    <t>Total descuentos</t>
  </si>
  <si>
    <t>Neto</t>
  </si>
  <si>
    <t>Total No Rem</t>
  </si>
  <si>
    <t>EsSalud (9%)</t>
  </si>
  <si>
    <t>Total a Pagar Planilla</t>
  </si>
  <si>
    <t>F. Cese</t>
  </si>
  <si>
    <t>Correo</t>
  </si>
  <si>
    <t>Extra mes</t>
  </si>
  <si>
    <t>Extra pagar</t>
  </si>
  <si>
    <t>Basico Sin planilla</t>
  </si>
  <si>
    <t>Viaticos sin planilla</t>
  </si>
  <si>
    <t>Hora Extra</t>
  </si>
  <si>
    <t>Total 1Q</t>
  </si>
  <si>
    <t>Adelanto quincena sin planilla</t>
  </si>
  <si>
    <t>Total Trabajador</t>
  </si>
  <si>
    <t>Costo Empresa</t>
  </si>
  <si>
    <t>PLANILLA</t>
  </si>
  <si>
    <t>REQUELME BACON CESAR DAVID</t>
  </si>
  <si>
    <t>Operador de Maquinaria Agricola N3</t>
  </si>
  <si>
    <t>SPP INTEGRA</t>
  </si>
  <si>
    <t>610561CRBUO0</t>
  </si>
  <si>
    <t>BCP</t>
  </si>
  <si>
    <t>57016231766077</t>
  </si>
  <si>
    <t>SI</t>
  </si>
  <si>
    <t>cesarrequelmeb@gmail.com</t>
  </si>
  <si>
    <t>CONCEPCIÓN ZEVALLOS ARMANDO</t>
  </si>
  <si>
    <t>57071021755000</t>
  </si>
  <si>
    <t>Armancz9091@gmail.com</t>
  </si>
  <si>
    <t>TERRONES JARA FREDY</t>
  </si>
  <si>
    <t>682261FTJRA0</t>
  </si>
  <si>
    <t>57098711252088</t>
  </si>
  <si>
    <t>NO</t>
  </si>
  <si>
    <t>Fredyterrones4@gmail.com</t>
  </si>
  <si>
    <t>MONTOYA NAMOC JORGE LUIS</t>
  </si>
  <si>
    <t>673841JMNTO4</t>
  </si>
  <si>
    <t>57016070300081</t>
  </si>
  <si>
    <t>jorgemontoyanamoc@gmail.com</t>
  </si>
  <si>
    <t>DIAZ DIAZ JUNNIOR</t>
  </si>
  <si>
    <t>SPP PRIMA</t>
  </si>
  <si>
    <t>646071JDDZZ4</t>
  </si>
  <si>
    <t>30071590047060</t>
  </si>
  <si>
    <t>diazdiazjunnior@gmail.com</t>
  </si>
  <si>
    <t>SIFUENTES PAREDES EDUARDO JAVIER</t>
  </si>
  <si>
    <t>Operador de Maquinaria Agricola N1</t>
  </si>
  <si>
    <t>667161ESPUE1</t>
  </si>
  <si>
    <t>19277856288012</t>
  </si>
  <si>
    <t>edujasipa@gmail.com</t>
  </si>
  <si>
    <t>TERRONES JARA LEYDER</t>
  </si>
  <si>
    <t>SPP PROFUTURO</t>
  </si>
  <si>
    <t>693021LTJRA4</t>
  </si>
  <si>
    <t>45016550233040</t>
  </si>
  <si>
    <t>leyderterrones077@gmail.com</t>
  </si>
  <si>
    <t>CALLE HUAMAN LEODAN JOEL</t>
  </si>
  <si>
    <t>659181LCHLM9</t>
  </si>
  <si>
    <t>SCOTIABANK</t>
  </si>
  <si>
    <t>8330769627</t>
  </si>
  <si>
    <t>00972420833076962762</t>
  </si>
  <si>
    <t xml:space="preserve">Callehuamanleodanjoel@gemail.com </t>
  </si>
  <si>
    <t>MANAYAY TANTARICO JHONATAN WILFER</t>
  </si>
  <si>
    <t>Operador de Maquinaria Agricola N2</t>
  </si>
  <si>
    <t>671981JMTAT4</t>
  </si>
  <si>
    <t>30500970418007</t>
  </si>
  <si>
    <t>manayayjhonatan@gmail.com</t>
  </si>
  <si>
    <t>FARROÑAN YOVERA LUIS ALBERTO</t>
  </si>
  <si>
    <t>602771LFYRE8</t>
  </si>
  <si>
    <t>30513491010070</t>
  </si>
  <si>
    <t>luisfy11@hotmail.com</t>
  </si>
  <si>
    <t>CHUICA ADANAQUE ANDERSON XAVIER</t>
  </si>
  <si>
    <t>47525665591096</t>
  </si>
  <si>
    <t>Andersonxavierchuicaadanaque@gmail.com</t>
  </si>
  <si>
    <t>GARCIA RAMOS SEGUNDO MIGUEL</t>
  </si>
  <si>
    <t>627751SGRCO7</t>
  </si>
  <si>
    <t>47531606418032</t>
  </si>
  <si>
    <t>garcikalet89@gmail.com</t>
  </si>
  <si>
    <t>CARLOS ROQUE JUNIOR ABEL</t>
  </si>
  <si>
    <t>342811JCRLU0</t>
  </si>
  <si>
    <t>41599043973014</t>
  </si>
  <si>
    <t>carlosroquejuinorabel@gmail.com</t>
  </si>
  <si>
    <t>CRUZ VARGAS MARCO ANTONIO</t>
  </si>
  <si>
    <t>655861MCVZG3</t>
  </si>
  <si>
    <t>57073429072032</t>
  </si>
  <si>
    <t>marcocruzcasas12@gmail.com</t>
  </si>
  <si>
    <t>BERNA TANTARICO BENJAMIN</t>
  </si>
  <si>
    <t>SPP HABITAT</t>
  </si>
  <si>
    <t>647101BBTNT4</t>
  </si>
  <si>
    <t>30593206658025</t>
  </si>
  <si>
    <t>bbernatantarico@gmail.com</t>
  </si>
  <si>
    <t>HERNANDEZ GOMEZ LUIS JHONATAN</t>
  </si>
  <si>
    <t>663811LHGNE7</t>
  </si>
  <si>
    <t>47515071114006</t>
  </si>
  <si>
    <t>jhonatanhernadezgomez@gmail.com</t>
  </si>
  <si>
    <t>PENDIENTE</t>
  </si>
  <si>
    <t>CURO PAZ FELIPE</t>
  </si>
  <si>
    <t>57098472871099</t>
  </si>
  <si>
    <t>GARCIA RAMOS JOSE ISMAEL</t>
  </si>
  <si>
    <t>47538222882029</t>
  </si>
  <si>
    <t>GOLINDANO MARQUEZ JUAN CARLOS</t>
  </si>
  <si>
    <t>57007918639078</t>
  </si>
  <si>
    <t>YUNCA ALFARO JOSE LUIS</t>
  </si>
  <si>
    <t>BBVA</t>
  </si>
  <si>
    <t>1100300200308710</t>
  </si>
  <si>
    <t>LALUPU ZAPATA CARLOS JAVIER</t>
  </si>
  <si>
    <t>47574561946054</t>
  </si>
  <si>
    <t>LEYVA CARRERA MARIANO YOEL</t>
  </si>
  <si>
    <t>1105790208095370</t>
  </si>
  <si>
    <t>pendiente pagar</t>
  </si>
  <si>
    <t>PALACIOS FLORES SEGUNDO RICARDO</t>
  </si>
  <si>
    <t>001105790232194455</t>
  </si>
  <si>
    <t>HONORARIOS</t>
  </si>
  <si>
    <t>SALIRROSAS CONTRERAS NILSON LINDER</t>
  </si>
  <si>
    <t>INTERBANK</t>
  </si>
  <si>
    <t>6003128946327</t>
  </si>
  <si>
    <t>00360001312894632748</t>
  </si>
  <si>
    <t>MOYA NAMOC PERCY LUIS</t>
  </si>
  <si>
    <t>PRADO MENDOZA GONZALO</t>
  </si>
  <si>
    <t>45006443272088</t>
  </si>
  <si>
    <t>VELA NEYRA JOSE VICTOR</t>
  </si>
  <si>
    <t>57090022817092</t>
  </si>
  <si>
    <t>REFUGIO</t>
  </si>
  <si>
    <t>RAFAEL MATOS DANNY</t>
  </si>
  <si>
    <t>19104659937005</t>
  </si>
  <si>
    <t>LEON GUANILO DIANA CAROLINA</t>
  </si>
  <si>
    <t>45095677205073</t>
  </si>
  <si>
    <t>HONORIO CARRANZA SARA GIMENA</t>
  </si>
  <si>
    <t>YOVERA CHAVEZ JORGE LUIS</t>
  </si>
  <si>
    <t>YSLA VILLACORTA LILIANA RAQUEL</t>
  </si>
  <si>
    <t>19497473102077</t>
  </si>
  <si>
    <t>YOVERA CHAVEZ MARYORIE KATIUSKA</t>
  </si>
  <si>
    <t>57078579082062</t>
  </si>
  <si>
    <t>OBERLUIS CABRERA ABNER DUWIENSER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</si>
</sst>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4" fontId="0" fillId="4" borderId="6" xfId="0" applyNumberFormat="1" applyFill="1" applyBorder="1" applyAlignment="1">
      <alignment horizontal="center"/>
    </xf>
    <xf numFmtId="4" fontId="0" fillId="5" borderId="6" xfId="0" applyNumberFormat="1" applyFill="1" applyBorder="1" applyAlignment="1">
      <alignment horizontal="center"/>
    </xf>
    <xf numFmtId="4" fontId="0" fillId="5" borderId="0" xfId="0" applyNumberFormat="1" applyFill="1" applyAlignment="1">
      <alignment horizontal="center"/>
    </xf>
    <xf numFmtId="4" fontId="0" fillId="6" borderId="6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/>
    <xf numFmtId="0" fontId="0" fillId="0" borderId="0" xfId="0" applyAlignment="1">
      <alignment vertical="center"/>
    </xf>
    <xf numFmtId="0" fontId="0" fillId="2" borderId="2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vertical="center"/>
    </xf>
    <xf numFmtId="0" fontId="0" fillId="7" borderId="5" xfId="0" applyFill="1" applyBorder="1" applyAlignment="1">
      <alignment vertical="center"/>
    </xf>
    <xf numFmtId="4" fontId="0" fillId="8" borderId="5" xfId="0" applyNumberFormat="1" applyFill="1" applyBorder="1" applyAlignment="1">
      <alignment horizontal="center" vertical="center" wrapText="1"/>
    </xf>
    <xf numFmtId="4" fontId="0" fillId="8" borderId="2" xfId="0" applyNumberFormat="1" applyFill="1" applyBorder="1" applyAlignment="1">
      <alignment horizontal="center" vertical="center" wrapText="1"/>
    </xf>
    <xf numFmtId="4" fontId="0" fillId="4" borderId="2" xfId="0" applyNumberFormat="1" applyFill="1" applyBorder="1" applyAlignment="1">
      <alignment horizontal="center" vertical="center" wrapText="1"/>
    </xf>
    <xf numFmtId="4" fontId="0" fillId="5" borderId="2" xfId="0" applyNumberFormat="1" applyFill="1" applyBorder="1" applyAlignment="1">
      <alignment horizontal="center" vertical="center" wrapText="1"/>
    </xf>
    <xf numFmtId="4" fontId="0" fillId="9" borderId="2" xfId="0" applyNumberFormat="1" applyFill="1" applyBorder="1" applyAlignment="1">
      <alignment horizontal="center" vertical="center" wrapText="1"/>
    </xf>
    <xf numFmtId="4" fontId="0" fillId="6" borderId="2" xfId="0" applyNumberFormat="1" applyFill="1" applyBorder="1" applyAlignment="1">
      <alignment horizontal="center" vertical="center" wrapText="1"/>
    </xf>
    <xf numFmtId="4" fontId="1" fillId="10" borderId="2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vertical="center" wrapText="1"/>
    </xf>
    <xf numFmtId="4" fontId="1" fillId="11" borderId="2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center"/>
    </xf>
    <xf numFmtId="0" fontId="0" fillId="0" borderId="2" xfId="0" applyBorder="1"/>
    <xf numFmtId="14" fontId="0" fillId="0" borderId="2" xfId="0" applyNumberFormat="1" applyBorder="1"/>
    <xf numFmtId="0" fontId="0" fillId="0" borderId="2" xfId="0" applyBorder="1" applyAlignment="1">
      <alignment horizontal="center"/>
    </xf>
    <xf numFmtId="4" fontId="0" fillId="0" borderId="2" xfId="0" applyNumberFormat="1" applyBorder="1" applyAlignment="1">
      <alignment horizontal="center"/>
    </xf>
    <xf numFmtId="0" fontId="2" fillId="0" borderId="2" xfId="1" applyBorder="1"/>
    <xf numFmtId="14" fontId="0" fillId="0" borderId="2" xfId="0" applyNumberFormat="1" applyBorder="1" applyAlignment="1">
      <alignment horizontal="center"/>
    </xf>
    <xf numFmtId="0" fontId="2" fillId="5" borderId="2" xfId="1" applyFill="1" applyBorder="1"/>
    <xf numFmtId="49" fontId="0" fillId="0" borderId="2" xfId="0" applyNumberFormat="1" applyBorder="1"/>
    <xf numFmtId="14" fontId="0" fillId="0" borderId="5" xfId="0" applyNumberFormat="1" applyBorder="1"/>
    <xf numFmtId="0" fontId="0" fillId="12" borderId="2" xfId="0" applyFill="1" applyBorder="1" applyAlignment="1">
      <alignment horizontal="center"/>
    </xf>
    <xf numFmtId="14" fontId="0" fillId="5" borderId="2" xfId="0" applyNumberFormat="1" applyFill="1" applyBorder="1"/>
    <xf numFmtId="0" fontId="0" fillId="5" borderId="2" xfId="0" applyFill="1" applyBorder="1"/>
    <xf numFmtId="14" fontId="0" fillId="5" borderId="5" xfId="0" applyNumberFormat="1" applyFill="1" applyBorder="1"/>
    <xf numFmtId="4" fontId="0" fillId="12" borderId="2" xfId="0" applyNumberFormat="1" applyFill="1" applyBorder="1" applyAlignment="1">
      <alignment horizontal="center"/>
    </xf>
    <xf numFmtId="4" fontId="0" fillId="12" borderId="0" xfId="0" applyNumberForma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la_MYPE_2026%20may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s"/>
      <sheetName val="Presentación"/>
      <sheetName val="Planilla Mensual"/>
      <sheetName val="Base costo planilla"/>
      <sheetName val="BD Asistencia"/>
      <sheetName val="Resumen asistencia"/>
      <sheetName val="Gratificaciones"/>
      <sheetName val="CTS"/>
      <sheetName val="Resumen"/>
    </sheetNames>
    <sheetDataSet>
      <sheetData sheetId="0" refreshError="1"/>
      <sheetData sheetId="1" refreshError="1"/>
      <sheetData sheetId="2"/>
      <sheetData sheetId="3" refreshError="1"/>
      <sheetData sheetId="4">
        <row r="1">
          <cell r="C1" t="str">
            <v>Nombre</v>
          </cell>
          <cell r="D1" t="str">
            <v>Fecha</v>
          </cell>
          <cell r="E1" t="str">
            <v>Valor</v>
          </cell>
          <cell r="H1" t="str">
            <v>tipo</v>
          </cell>
        </row>
        <row r="2">
          <cell r="C2" t="str">
            <v>HONORIO CARRANZA SARA GIMENA</v>
          </cell>
          <cell r="D2">
            <v>46143</v>
          </cell>
          <cell r="E2" t="str">
            <v>DNR</v>
          </cell>
          <cell r="H2" t="str">
            <v>No Remunerado</v>
          </cell>
        </row>
        <row r="3">
          <cell r="C3" t="str">
            <v>HONORIO CARRANZA SARA GIMENA</v>
          </cell>
          <cell r="D3">
            <v>46144</v>
          </cell>
          <cell r="E3" t="str">
            <v>DNR</v>
          </cell>
          <cell r="H3" t="str">
            <v>No Remunerado</v>
          </cell>
        </row>
        <row r="4">
          <cell r="C4" t="str">
            <v>HONORIO CARRANZA SARA GIMENA</v>
          </cell>
          <cell r="D4">
            <v>46145</v>
          </cell>
          <cell r="E4" t="str">
            <v>DNR</v>
          </cell>
          <cell r="H4" t="str">
            <v>No Remunerado</v>
          </cell>
        </row>
        <row r="5">
          <cell r="C5" t="str">
            <v>HONORIO CARRANZA SARA GIMENA</v>
          </cell>
          <cell r="D5">
            <v>46146</v>
          </cell>
          <cell r="E5" t="str">
            <v>DNR</v>
          </cell>
          <cell r="H5" t="str">
            <v>No Remunerado</v>
          </cell>
        </row>
        <row r="6">
          <cell r="C6" t="str">
            <v>HONORIO CARRANZA SARA GIMENA</v>
          </cell>
          <cell r="D6">
            <v>46147</v>
          </cell>
          <cell r="E6" t="str">
            <v>DNR</v>
          </cell>
          <cell r="H6" t="str">
            <v>No Remunerado</v>
          </cell>
        </row>
        <row r="7">
          <cell r="C7" t="str">
            <v>HONORIO CARRANZA SARA GIMENA</v>
          </cell>
          <cell r="D7">
            <v>46148</v>
          </cell>
          <cell r="E7" t="str">
            <v>DNR</v>
          </cell>
          <cell r="H7" t="str">
            <v>No Remunerado</v>
          </cell>
        </row>
        <row r="8">
          <cell r="C8" t="str">
            <v>HONORIO CARRANZA SARA GIMENA</v>
          </cell>
          <cell r="D8">
            <v>46149</v>
          </cell>
          <cell r="E8" t="str">
            <v>DNR</v>
          </cell>
          <cell r="H8" t="str">
            <v>No Remunerado</v>
          </cell>
        </row>
        <row r="9">
          <cell r="C9" t="str">
            <v>HONORIO CARRANZA SARA GIMENA</v>
          </cell>
          <cell r="D9">
            <v>46150</v>
          </cell>
          <cell r="E9" t="str">
            <v>DNR</v>
          </cell>
          <cell r="H9" t="str">
            <v>No Remunerado</v>
          </cell>
        </row>
        <row r="10">
          <cell r="C10" t="str">
            <v>HONORIO CARRANZA SARA GIMENA</v>
          </cell>
          <cell r="D10">
            <v>46151</v>
          </cell>
          <cell r="E10" t="str">
            <v>DNR</v>
          </cell>
          <cell r="H10" t="str">
            <v>No Remunerado</v>
          </cell>
        </row>
        <row r="11">
          <cell r="C11" t="str">
            <v>HONORIO CARRANZA SARA GIMENA</v>
          </cell>
          <cell r="D11">
            <v>46152</v>
          </cell>
          <cell r="E11" t="str">
            <v>DNR</v>
          </cell>
          <cell r="H11" t="str">
            <v>No Remunerado</v>
          </cell>
        </row>
        <row r="12">
          <cell r="C12" t="str">
            <v>HONORIO CARRANZA SARA GIMENA</v>
          </cell>
          <cell r="D12">
            <v>46153</v>
          </cell>
          <cell r="E12" t="str">
            <v>A</v>
          </cell>
          <cell r="H12" t="str">
            <v>Asistencia</v>
          </cell>
        </row>
        <row r="13">
          <cell r="C13" t="str">
            <v>HONORIO CARRANZA SARA GIMENA</v>
          </cell>
          <cell r="D13">
            <v>46154</v>
          </cell>
          <cell r="E13" t="str">
            <v>DNR</v>
          </cell>
          <cell r="H13" t="str">
            <v>No Remunerado</v>
          </cell>
        </row>
        <row r="14">
          <cell r="C14" t="str">
            <v>HONORIO CARRANZA SARA GIMENA</v>
          </cell>
          <cell r="D14">
            <v>46155</v>
          </cell>
          <cell r="E14" t="str">
            <v>A</v>
          </cell>
          <cell r="H14" t="str">
            <v>Asistencia</v>
          </cell>
        </row>
        <row r="15">
          <cell r="C15" t="str">
            <v>HONORIO CARRANZA SARA GIMENA</v>
          </cell>
          <cell r="D15">
            <v>46156</v>
          </cell>
          <cell r="E15" t="str">
            <v>A</v>
          </cell>
          <cell r="H15" t="str">
            <v>Asistencia</v>
          </cell>
        </row>
        <row r="16">
          <cell r="C16" t="str">
            <v>HONORIO CARRANZA SARA GIMENA</v>
          </cell>
          <cell r="D16">
            <v>46157</v>
          </cell>
          <cell r="E16" t="str">
            <v>A</v>
          </cell>
          <cell r="H16" t="str">
            <v>Asistencia</v>
          </cell>
        </row>
        <row r="17">
          <cell r="C17" t="str">
            <v>HONORIO CARRANZA SARA GIMENA</v>
          </cell>
          <cell r="D17">
            <v>46158</v>
          </cell>
          <cell r="E17" t="str">
            <v>A</v>
          </cell>
          <cell r="H17" t="str">
            <v>Asistencia</v>
          </cell>
        </row>
        <row r="18">
          <cell r="C18" t="str">
            <v>HONORIO CARRANZA SARA GIMENA</v>
          </cell>
          <cell r="D18">
            <v>46159</v>
          </cell>
          <cell r="E18" t="str">
            <v>DNR</v>
          </cell>
          <cell r="H18" t="str">
            <v>No Remunerado</v>
          </cell>
        </row>
        <row r="19">
          <cell r="C19" t="str">
            <v>HONORIO CARRANZA SARA GIMENA</v>
          </cell>
          <cell r="D19">
            <v>46160</v>
          </cell>
          <cell r="E19" t="str">
            <v>A</v>
          </cell>
          <cell r="H19" t="str">
            <v>Asistencia</v>
          </cell>
        </row>
        <row r="20">
          <cell r="C20" t="str">
            <v>HONORIO CARRANZA SARA GIMENA</v>
          </cell>
          <cell r="D20">
            <v>46161</v>
          </cell>
          <cell r="E20" t="str">
            <v>DNR</v>
          </cell>
          <cell r="H20" t="str">
            <v>No Remunerado</v>
          </cell>
        </row>
        <row r="21">
          <cell r="C21" t="str">
            <v>HONORIO CARRANZA SARA GIMENA</v>
          </cell>
          <cell r="D21">
            <v>46162</v>
          </cell>
          <cell r="E21" t="str">
            <v>DNR</v>
          </cell>
          <cell r="H21" t="str">
            <v>No Remunerado</v>
          </cell>
        </row>
        <row r="22">
          <cell r="C22" t="str">
            <v>HONORIO CARRANZA SARA GIMENA</v>
          </cell>
          <cell r="D22">
            <v>46163</v>
          </cell>
          <cell r="E22" t="str">
            <v>A</v>
          </cell>
          <cell r="H22" t="str">
            <v>Asistencia</v>
          </cell>
        </row>
        <row r="23">
          <cell r="C23" t="str">
            <v>HONORIO CARRANZA SARA GIMENA</v>
          </cell>
          <cell r="D23">
            <v>46164</v>
          </cell>
          <cell r="E23" t="str">
            <v>A</v>
          </cell>
          <cell r="H23" t="str">
            <v>Asistencia</v>
          </cell>
        </row>
        <row r="24">
          <cell r="C24" t="str">
            <v>HONORIO CARRANZA SARA GIMENA</v>
          </cell>
          <cell r="D24">
            <v>46165</v>
          </cell>
          <cell r="E24" t="str">
            <v>A</v>
          </cell>
          <cell r="H24" t="str">
            <v>Asistencia</v>
          </cell>
        </row>
        <row r="25">
          <cell r="C25" t="str">
            <v>HONORIO CARRANZA SARA GIMENA</v>
          </cell>
          <cell r="D25">
            <v>46166</v>
          </cell>
          <cell r="E25" t="str">
            <v>DNR</v>
          </cell>
          <cell r="H25" t="str">
            <v>No Remunerado</v>
          </cell>
        </row>
        <row r="26">
          <cell r="C26" t="str">
            <v>HONORIO CARRANZA SARA GIMENA</v>
          </cell>
          <cell r="D26">
            <v>46167</v>
          </cell>
          <cell r="E26" t="str">
            <v>DNR</v>
          </cell>
          <cell r="H26" t="str">
            <v>No Remunerado</v>
          </cell>
        </row>
        <row r="27">
          <cell r="C27" t="str">
            <v>HONORIO CARRANZA SARA GIMENA</v>
          </cell>
          <cell r="D27">
            <v>46168</v>
          </cell>
          <cell r="E27" t="str">
            <v>DNR</v>
          </cell>
          <cell r="H27" t="str">
            <v>No Remunerado</v>
          </cell>
        </row>
        <row r="28">
          <cell r="C28" t="str">
            <v>HONORIO CARRANZA SARA GIMENA</v>
          </cell>
          <cell r="D28">
            <v>46169</v>
          </cell>
          <cell r="E28" t="str">
            <v>A</v>
          </cell>
          <cell r="H28" t="str">
            <v>Asistencia</v>
          </cell>
        </row>
        <row r="29">
          <cell r="C29" t="str">
            <v>HONORIO CARRANZA SARA GIMENA</v>
          </cell>
          <cell r="D29">
            <v>46170</v>
          </cell>
          <cell r="E29" t="str">
            <v>A</v>
          </cell>
          <cell r="H29" t="str">
            <v>Asistencia</v>
          </cell>
        </row>
        <row r="30">
          <cell r="C30" t="str">
            <v>HONORIO CARRANZA SARA GIMENA</v>
          </cell>
          <cell r="D30">
            <v>46171</v>
          </cell>
          <cell r="E30" t="str">
            <v>A</v>
          </cell>
          <cell r="H30" t="str">
            <v>Asistencia</v>
          </cell>
        </row>
        <row r="31">
          <cell r="C31" t="str">
            <v>HONORIO CARRANZA SARA GIMENA</v>
          </cell>
          <cell r="D31">
            <v>46172</v>
          </cell>
          <cell r="E31" t="str">
            <v>A</v>
          </cell>
          <cell r="H31" t="str">
            <v>Asistencia</v>
          </cell>
        </row>
        <row r="32">
          <cell r="C32" t="str">
            <v>HONORIO CARRANZA SARA GIMENA</v>
          </cell>
          <cell r="D32">
            <v>46173</v>
          </cell>
          <cell r="E32" t="str">
            <v>DNR</v>
          </cell>
          <cell r="H32" t="str">
            <v>No Remunerado</v>
          </cell>
        </row>
        <row r="33">
          <cell r="C33" t="str">
            <v>RAFAEL MATOS DANNY</v>
          </cell>
          <cell r="D33">
            <v>46143</v>
          </cell>
          <cell r="E33" t="str">
            <v>A</v>
          </cell>
          <cell r="H33" t="str">
            <v>Asistencia</v>
          </cell>
        </row>
        <row r="34">
          <cell r="C34" t="str">
            <v>RAFAEL MATOS DANNY</v>
          </cell>
          <cell r="D34">
            <v>46144</v>
          </cell>
          <cell r="E34" t="str">
            <v>A</v>
          </cell>
          <cell r="H34" t="str">
            <v>Asistencia</v>
          </cell>
        </row>
        <row r="35">
          <cell r="C35" t="str">
            <v>RAFAEL MATOS DANNY</v>
          </cell>
          <cell r="D35">
            <v>46145</v>
          </cell>
          <cell r="E35" t="str">
            <v>A</v>
          </cell>
          <cell r="H35" t="str">
            <v>Asistencia</v>
          </cell>
        </row>
        <row r="36">
          <cell r="C36" t="str">
            <v>RAFAEL MATOS DANNY</v>
          </cell>
          <cell r="D36">
            <v>46146</v>
          </cell>
          <cell r="E36" t="str">
            <v>A</v>
          </cell>
          <cell r="H36" t="str">
            <v>Asistencia</v>
          </cell>
        </row>
        <row r="37">
          <cell r="C37" t="str">
            <v>RAFAEL MATOS DANNY</v>
          </cell>
          <cell r="D37">
            <v>46147</v>
          </cell>
          <cell r="E37" t="str">
            <v>A</v>
          </cell>
          <cell r="H37" t="str">
            <v>Asistencia</v>
          </cell>
        </row>
        <row r="38">
          <cell r="C38" t="str">
            <v>RAFAEL MATOS DANNY</v>
          </cell>
          <cell r="D38">
            <v>46148</v>
          </cell>
          <cell r="E38" t="str">
            <v>A</v>
          </cell>
          <cell r="H38" t="str">
            <v>Asistencia</v>
          </cell>
        </row>
        <row r="39">
          <cell r="C39" t="str">
            <v>RAFAEL MATOS DANNY</v>
          </cell>
          <cell r="D39">
            <v>46149</v>
          </cell>
          <cell r="E39" t="str">
            <v>A</v>
          </cell>
          <cell r="H39" t="str">
            <v>Asistencia</v>
          </cell>
        </row>
        <row r="40">
          <cell r="C40" t="str">
            <v>RAFAEL MATOS DANNY</v>
          </cell>
          <cell r="D40">
            <v>46150</v>
          </cell>
          <cell r="E40" t="str">
            <v>A</v>
          </cell>
          <cell r="H40" t="str">
            <v>Asistencia</v>
          </cell>
        </row>
        <row r="41">
          <cell r="C41" t="str">
            <v>RAFAEL MATOS DANNY</v>
          </cell>
          <cell r="D41">
            <v>46151</v>
          </cell>
          <cell r="E41" t="str">
            <v>A</v>
          </cell>
          <cell r="H41" t="str">
            <v>Asistencia</v>
          </cell>
        </row>
        <row r="42">
          <cell r="C42" t="str">
            <v>RAFAEL MATOS DANNY</v>
          </cell>
          <cell r="D42">
            <v>46152</v>
          </cell>
          <cell r="E42" t="str">
            <v>DR</v>
          </cell>
          <cell r="H42" t="str">
            <v>D. Remunerado</v>
          </cell>
        </row>
        <row r="43">
          <cell r="C43" t="str">
            <v>RAFAEL MATOS DANNY</v>
          </cell>
          <cell r="D43">
            <v>46153</v>
          </cell>
          <cell r="E43" t="str">
            <v>A</v>
          </cell>
          <cell r="H43" t="str">
            <v>Asistencia</v>
          </cell>
        </row>
        <row r="44">
          <cell r="C44" t="str">
            <v>RAFAEL MATOS DANNY</v>
          </cell>
          <cell r="D44">
            <v>46154</v>
          </cell>
          <cell r="E44" t="str">
            <v>A</v>
          </cell>
          <cell r="H44" t="str">
            <v>Asistencia</v>
          </cell>
        </row>
        <row r="45">
          <cell r="C45" t="str">
            <v>RAFAEL MATOS DANNY</v>
          </cell>
          <cell r="D45">
            <v>46155</v>
          </cell>
          <cell r="E45" t="str">
            <v>A</v>
          </cell>
          <cell r="H45" t="str">
            <v>Asistencia</v>
          </cell>
        </row>
        <row r="46">
          <cell r="C46" t="str">
            <v>RAFAEL MATOS DANNY</v>
          </cell>
          <cell r="D46">
            <v>46156</v>
          </cell>
          <cell r="E46" t="str">
            <v>A</v>
          </cell>
          <cell r="H46" t="str">
            <v>Asistencia</v>
          </cell>
        </row>
        <row r="47">
          <cell r="C47" t="str">
            <v>RAFAEL MATOS DANNY</v>
          </cell>
          <cell r="D47">
            <v>46157</v>
          </cell>
          <cell r="E47" t="str">
            <v>A</v>
          </cell>
          <cell r="H47" t="str">
            <v>Asistencia</v>
          </cell>
        </row>
        <row r="48">
          <cell r="C48" t="str">
            <v>RAFAEL MATOS DANNY</v>
          </cell>
          <cell r="D48">
            <v>46158</v>
          </cell>
          <cell r="E48" t="str">
            <v>A</v>
          </cell>
          <cell r="H48" t="str">
            <v>Asistencia</v>
          </cell>
        </row>
        <row r="49">
          <cell r="C49" t="str">
            <v>RAFAEL MATOS DANNY</v>
          </cell>
          <cell r="D49">
            <v>46159</v>
          </cell>
          <cell r="E49" t="str">
            <v>DR</v>
          </cell>
          <cell r="H49" t="str">
            <v>D. Remunerado</v>
          </cell>
        </row>
        <row r="50">
          <cell r="C50" t="str">
            <v>RAFAEL MATOS DANNY</v>
          </cell>
          <cell r="D50">
            <v>46160</v>
          </cell>
          <cell r="E50" t="str">
            <v>A</v>
          </cell>
          <cell r="H50" t="str">
            <v>Asistencia</v>
          </cell>
        </row>
        <row r="51">
          <cell r="C51" t="str">
            <v>RAFAEL MATOS DANNY</v>
          </cell>
          <cell r="D51">
            <v>46161</v>
          </cell>
          <cell r="E51" t="str">
            <v>A</v>
          </cell>
          <cell r="H51" t="str">
            <v>Asistencia</v>
          </cell>
        </row>
        <row r="52">
          <cell r="C52" t="str">
            <v>RAFAEL MATOS DANNY</v>
          </cell>
          <cell r="D52">
            <v>46162</v>
          </cell>
          <cell r="E52" t="str">
            <v>A</v>
          </cell>
          <cell r="H52" t="str">
            <v>Asistencia</v>
          </cell>
        </row>
        <row r="53">
          <cell r="C53" t="str">
            <v>RAFAEL MATOS DANNY</v>
          </cell>
          <cell r="D53">
            <v>46163</v>
          </cell>
          <cell r="E53" t="str">
            <v>A</v>
          </cell>
          <cell r="H53" t="str">
            <v>Asistencia</v>
          </cell>
        </row>
        <row r="54">
          <cell r="C54" t="str">
            <v>RAFAEL MATOS DANNY</v>
          </cell>
          <cell r="D54">
            <v>46164</v>
          </cell>
          <cell r="E54" t="str">
            <v>A</v>
          </cell>
          <cell r="H54" t="str">
            <v>Asistencia</v>
          </cell>
        </row>
        <row r="55">
          <cell r="C55" t="str">
            <v>RAFAEL MATOS DANNY</v>
          </cell>
          <cell r="D55">
            <v>46165</v>
          </cell>
          <cell r="E55" t="str">
            <v>A</v>
          </cell>
          <cell r="H55" t="str">
            <v>Asistencia</v>
          </cell>
        </row>
        <row r="56">
          <cell r="C56" t="str">
            <v>RAFAEL MATOS DANNY</v>
          </cell>
          <cell r="D56">
            <v>46166</v>
          </cell>
          <cell r="E56" t="str">
            <v>DR</v>
          </cell>
          <cell r="H56" t="str">
            <v>D. Remunerado</v>
          </cell>
        </row>
        <row r="57">
          <cell r="C57" t="str">
            <v>RAFAEL MATOS DANNY</v>
          </cell>
          <cell r="D57">
            <v>46167</v>
          </cell>
          <cell r="E57" t="str">
            <v>A</v>
          </cell>
          <cell r="H57" t="str">
            <v>Asistencia</v>
          </cell>
        </row>
        <row r="58">
          <cell r="C58" t="str">
            <v>RAFAEL MATOS DANNY</v>
          </cell>
          <cell r="D58">
            <v>46168</v>
          </cell>
          <cell r="E58" t="str">
            <v>A</v>
          </cell>
          <cell r="H58" t="str">
            <v>Asistencia</v>
          </cell>
        </row>
        <row r="59">
          <cell r="C59" t="str">
            <v>RAFAEL MATOS DANNY</v>
          </cell>
          <cell r="D59">
            <v>46169</v>
          </cell>
          <cell r="E59" t="str">
            <v>A</v>
          </cell>
          <cell r="H59" t="str">
            <v>Asistencia</v>
          </cell>
        </row>
        <row r="60">
          <cell r="C60" t="str">
            <v>RAFAEL MATOS DANNY</v>
          </cell>
          <cell r="D60">
            <v>46170</v>
          </cell>
          <cell r="E60" t="str">
            <v>A</v>
          </cell>
          <cell r="H60" t="str">
            <v>Asistencia</v>
          </cell>
        </row>
        <row r="61">
          <cell r="C61" t="str">
            <v>RAFAEL MATOS DANNY</v>
          </cell>
          <cell r="D61">
            <v>46171</v>
          </cell>
          <cell r="E61" t="str">
            <v>A</v>
          </cell>
          <cell r="H61" t="str">
            <v>Asistencia</v>
          </cell>
        </row>
        <row r="62">
          <cell r="C62" t="str">
            <v>RAFAEL MATOS DANNY</v>
          </cell>
          <cell r="D62">
            <v>46172</v>
          </cell>
          <cell r="E62" t="str">
            <v>A</v>
          </cell>
          <cell r="H62" t="str">
            <v>Asistencia</v>
          </cell>
        </row>
        <row r="63">
          <cell r="C63" t="str">
            <v>RAFAEL MATOS DANNY</v>
          </cell>
          <cell r="D63">
            <v>46173</v>
          </cell>
          <cell r="E63" t="str">
            <v>DR</v>
          </cell>
          <cell r="H63" t="str">
            <v>D. Remunerado</v>
          </cell>
        </row>
        <row r="64">
          <cell r="C64" t="str">
            <v>VELA NEYRA JOSE VICTOR</v>
          </cell>
          <cell r="D64">
            <v>46143</v>
          </cell>
          <cell r="E64" t="str">
            <v>A</v>
          </cell>
          <cell r="H64" t="str">
            <v>Asistencia</v>
          </cell>
        </row>
        <row r="65">
          <cell r="C65" t="str">
            <v>VELA NEYRA JOSE VICTOR</v>
          </cell>
          <cell r="D65">
            <v>46144</v>
          </cell>
          <cell r="E65" t="str">
            <v>A</v>
          </cell>
          <cell r="H65" t="str">
            <v>Asistencia</v>
          </cell>
        </row>
        <row r="66">
          <cell r="C66" t="str">
            <v>VELA NEYRA JOSE VICTOR</v>
          </cell>
          <cell r="D66">
            <v>46145</v>
          </cell>
          <cell r="E66" t="str">
            <v>A</v>
          </cell>
          <cell r="H66" t="str">
            <v>Asistencia</v>
          </cell>
        </row>
        <row r="67">
          <cell r="C67" t="str">
            <v>VELA NEYRA JOSE VICTOR</v>
          </cell>
          <cell r="D67">
            <v>46146</v>
          </cell>
          <cell r="E67" t="str">
            <v>A</v>
          </cell>
          <cell r="H67" t="str">
            <v>Asistencia</v>
          </cell>
        </row>
        <row r="68">
          <cell r="C68" t="str">
            <v>VELA NEYRA JOSE VICTOR</v>
          </cell>
          <cell r="D68">
            <v>46147</v>
          </cell>
          <cell r="E68" t="str">
            <v>A</v>
          </cell>
          <cell r="H68" t="str">
            <v>Asistencia</v>
          </cell>
        </row>
        <row r="69">
          <cell r="C69" t="str">
            <v>VELA NEYRA JOSE VICTOR</v>
          </cell>
          <cell r="D69">
            <v>46148</v>
          </cell>
          <cell r="E69" t="str">
            <v>A</v>
          </cell>
          <cell r="H69" t="str">
            <v>Asistencia</v>
          </cell>
        </row>
        <row r="70">
          <cell r="C70" t="str">
            <v>VELA NEYRA JOSE VICTOR</v>
          </cell>
          <cell r="D70">
            <v>46149</v>
          </cell>
          <cell r="E70" t="str">
            <v>A</v>
          </cell>
          <cell r="H70" t="str">
            <v>Asistencia</v>
          </cell>
        </row>
        <row r="71">
          <cell r="C71" t="str">
            <v>VELA NEYRA JOSE VICTOR</v>
          </cell>
          <cell r="D71">
            <v>46150</v>
          </cell>
          <cell r="E71" t="str">
            <v>A</v>
          </cell>
          <cell r="H71" t="str">
            <v>Asistencia</v>
          </cell>
        </row>
        <row r="72">
          <cell r="C72" t="str">
            <v>VELA NEYRA JOSE VICTOR</v>
          </cell>
          <cell r="D72">
            <v>46151</v>
          </cell>
          <cell r="E72" t="str">
            <v>A</v>
          </cell>
          <cell r="H72" t="str">
            <v>Asistencia</v>
          </cell>
        </row>
        <row r="73">
          <cell r="C73" t="str">
            <v>VELA NEYRA JOSE VICTOR</v>
          </cell>
          <cell r="D73">
            <v>46152</v>
          </cell>
          <cell r="E73" t="str">
            <v>DR</v>
          </cell>
          <cell r="H73" t="str">
            <v>D. Remunerado</v>
          </cell>
        </row>
        <row r="74">
          <cell r="C74" t="str">
            <v>VELA NEYRA JOSE VICTOR</v>
          </cell>
          <cell r="D74">
            <v>46153</v>
          </cell>
          <cell r="E74" t="str">
            <v>A</v>
          </cell>
          <cell r="H74" t="str">
            <v>Asistencia</v>
          </cell>
        </row>
        <row r="75">
          <cell r="C75" t="str">
            <v>VELA NEYRA JOSE VICTOR</v>
          </cell>
          <cell r="D75">
            <v>46154</v>
          </cell>
          <cell r="E75" t="str">
            <v>A</v>
          </cell>
          <cell r="H75" t="str">
            <v>Asistencia</v>
          </cell>
        </row>
        <row r="76">
          <cell r="C76" t="str">
            <v>VELA NEYRA JOSE VICTOR</v>
          </cell>
          <cell r="D76">
            <v>46155</v>
          </cell>
          <cell r="E76" t="str">
            <v>A</v>
          </cell>
          <cell r="H76" t="str">
            <v>Asistencia</v>
          </cell>
        </row>
        <row r="77">
          <cell r="C77" t="str">
            <v>VELA NEYRA JOSE VICTOR</v>
          </cell>
          <cell r="D77">
            <v>46156</v>
          </cell>
          <cell r="E77" t="str">
            <v>A</v>
          </cell>
          <cell r="H77" t="str">
            <v>Asistencia</v>
          </cell>
        </row>
        <row r="78">
          <cell r="C78" t="str">
            <v>VELA NEYRA JOSE VICTOR</v>
          </cell>
          <cell r="D78">
            <v>46157</v>
          </cell>
          <cell r="E78" t="str">
            <v>A</v>
          </cell>
          <cell r="H78" t="str">
            <v>Asistencia</v>
          </cell>
        </row>
        <row r="79">
          <cell r="C79" t="str">
            <v>VELA NEYRA JOSE VICTOR</v>
          </cell>
          <cell r="D79">
            <v>46158</v>
          </cell>
          <cell r="E79" t="str">
            <v>A</v>
          </cell>
          <cell r="H79" t="str">
            <v>Asistencia</v>
          </cell>
        </row>
        <row r="80">
          <cell r="C80" t="str">
            <v>VELA NEYRA JOSE VICTOR</v>
          </cell>
          <cell r="D80">
            <v>46159</v>
          </cell>
          <cell r="E80" t="str">
            <v>DR</v>
          </cell>
          <cell r="H80" t="str">
            <v>D. Remunerado</v>
          </cell>
        </row>
        <row r="81">
          <cell r="C81" t="str">
            <v>VELA NEYRA JOSE VICTOR</v>
          </cell>
          <cell r="D81">
            <v>46160</v>
          </cell>
          <cell r="E81" t="str">
            <v>A</v>
          </cell>
          <cell r="H81" t="str">
            <v>Asistencia</v>
          </cell>
        </row>
        <row r="82">
          <cell r="C82" t="str">
            <v>VELA NEYRA JOSE VICTOR</v>
          </cell>
          <cell r="D82">
            <v>46161</v>
          </cell>
          <cell r="E82" t="str">
            <v>A</v>
          </cell>
          <cell r="H82" t="str">
            <v>Asistencia</v>
          </cell>
        </row>
        <row r="83">
          <cell r="C83" t="str">
            <v>VELA NEYRA JOSE VICTOR</v>
          </cell>
          <cell r="D83">
            <v>46162</v>
          </cell>
          <cell r="E83" t="str">
            <v>A</v>
          </cell>
          <cell r="H83" t="str">
            <v>Asistencia</v>
          </cell>
        </row>
        <row r="84">
          <cell r="C84" t="str">
            <v>VELA NEYRA JOSE VICTOR</v>
          </cell>
          <cell r="D84">
            <v>46163</v>
          </cell>
          <cell r="E84" t="str">
            <v>A</v>
          </cell>
          <cell r="H84" t="str">
            <v>Asistencia</v>
          </cell>
        </row>
        <row r="85">
          <cell r="C85" t="str">
            <v>VELA NEYRA JOSE VICTOR</v>
          </cell>
          <cell r="D85">
            <v>46164</v>
          </cell>
          <cell r="E85" t="str">
            <v>A</v>
          </cell>
          <cell r="H85" t="str">
            <v>Asistencia</v>
          </cell>
        </row>
        <row r="86">
          <cell r="C86" t="str">
            <v>VELA NEYRA JOSE VICTOR</v>
          </cell>
          <cell r="D86">
            <v>46165</v>
          </cell>
          <cell r="E86" t="str">
            <v>A</v>
          </cell>
          <cell r="H86" t="str">
            <v>Asistencia</v>
          </cell>
        </row>
        <row r="87">
          <cell r="C87" t="str">
            <v>VELA NEYRA JOSE VICTOR</v>
          </cell>
          <cell r="D87">
            <v>46166</v>
          </cell>
          <cell r="E87" t="str">
            <v>DR</v>
          </cell>
          <cell r="H87" t="str">
            <v>D. Remunerado</v>
          </cell>
        </row>
        <row r="88">
          <cell r="C88" t="str">
            <v>VELA NEYRA JOSE VICTOR</v>
          </cell>
          <cell r="D88">
            <v>46167</v>
          </cell>
          <cell r="E88" t="str">
            <v>A</v>
          </cell>
          <cell r="H88" t="str">
            <v>Asistencia</v>
          </cell>
        </row>
        <row r="89">
          <cell r="C89" t="str">
            <v>VELA NEYRA JOSE VICTOR</v>
          </cell>
          <cell r="D89">
            <v>46168</v>
          </cell>
          <cell r="E89" t="str">
            <v>A</v>
          </cell>
          <cell r="H89" t="str">
            <v>Asistencia</v>
          </cell>
        </row>
        <row r="90">
          <cell r="C90" t="str">
            <v>VELA NEYRA JOSE VICTOR</v>
          </cell>
          <cell r="D90">
            <v>46169</v>
          </cell>
          <cell r="E90" t="str">
            <v>A</v>
          </cell>
          <cell r="H90" t="str">
            <v>Asistencia</v>
          </cell>
        </row>
        <row r="91">
          <cell r="C91" t="str">
            <v>VELA NEYRA JOSE VICTOR</v>
          </cell>
          <cell r="D91">
            <v>46170</v>
          </cell>
          <cell r="E91" t="str">
            <v>A</v>
          </cell>
          <cell r="H91" t="str">
            <v>Asistencia</v>
          </cell>
        </row>
        <row r="92">
          <cell r="C92" t="str">
            <v>VELA NEYRA JOSE VICTOR</v>
          </cell>
          <cell r="D92">
            <v>46171</v>
          </cell>
          <cell r="E92" t="str">
            <v>A</v>
          </cell>
          <cell r="H92" t="str">
            <v>Asistencia</v>
          </cell>
        </row>
        <row r="93">
          <cell r="C93" t="str">
            <v>VELA NEYRA JOSE VICTOR</v>
          </cell>
          <cell r="D93">
            <v>46172</v>
          </cell>
          <cell r="E93" t="str">
            <v>A</v>
          </cell>
          <cell r="H93" t="str">
            <v>Asistencia</v>
          </cell>
        </row>
        <row r="94">
          <cell r="C94" t="str">
            <v>VELA NEYRA JOSE VICTOR</v>
          </cell>
          <cell r="D94">
            <v>46173</v>
          </cell>
          <cell r="E94" t="str">
            <v>DR</v>
          </cell>
          <cell r="H94" t="str">
            <v>D. Remunerado</v>
          </cell>
        </row>
        <row r="95">
          <cell r="C95" t="str">
            <v>PRADO MENDOZA GONZALO</v>
          </cell>
          <cell r="D95">
            <v>46143</v>
          </cell>
          <cell r="E95" t="str">
            <v>A</v>
          </cell>
          <cell r="H95" t="str">
            <v>Asistencia</v>
          </cell>
        </row>
        <row r="96">
          <cell r="C96" t="str">
            <v>PRADO MENDOZA GONZALO</v>
          </cell>
          <cell r="D96">
            <v>46144</v>
          </cell>
          <cell r="E96" t="str">
            <v>A</v>
          </cell>
          <cell r="H96" t="str">
            <v>Asistencia</v>
          </cell>
        </row>
        <row r="97">
          <cell r="C97" t="str">
            <v>PRADO MENDOZA GONZALO</v>
          </cell>
          <cell r="D97">
            <v>46145</v>
          </cell>
          <cell r="E97" t="str">
            <v>A</v>
          </cell>
          <cell r="H97" t="str">
            <v>Asistencia</v>
          </cell>
        </row>
        <row r="98">
          <cell r="C98" t="str">
            <v>PRADO MENDOZA GONZALO</v>
          </cell>
          <cell r="D98">
            <v>46146</v>
          </cell>
          <cell r="E98" t="str">
            <v>A</v>
          </cell>
          <cell r="H98" t="str">
            <v>Asistencia</v>
          </cell>
        </row>
        <row r="99">
          <cell r="C99" t="str">
            <v>PRADO MENDOZA GONZALO</v>
          </cell>
          <cell r="D99">
            <v>46147</v>
          </cell>
          <cell r="E99" t="str">
            <v>A</v>
          </cell>
          <cell r="H99" t="str">
            <v>Asistencia</v>
          </cell>
        </row>
        <row r="100">
          <cell r="C100" t="str">
            <v>PRADO MENDOZA GONZALO</v>
          </cell>
          <cell r="D100">
            <v>46148</v>
          </cell>
          <cell r="E100" t="str">
            <v>A</v>
          </cell>
          <cell r="H100" t="str">
            <v>Asistencia</v>
          </cell>
        </row>
        <row r="101">
          <cell r="C101" t="str">
            <v>PRADO MENDOZA GONZALO</v>
          </cell>
          <cell r="D101">
            <v>46149</v>
          </cell>
          <cell r="E101" t="str">
            <v>A</v>
          </cell>
          <cell r="H101" t="str">
            <v>Asistencia</v>
          </cell>
        </row>
        <row r="102">
          <cell r="C102" t="str">
            <v>PRADO MENDOZA GONZALO</v>
          </cell>
          <cell r="D102">
            <v>46150</v>
          </cell>
          <cell r="E102" t="str">
            <v>A</v>
          </cell>
          <cell r="H102" t="str">
            <v>Asistencia</v>
          </cell>
        </row>
        <row r="103">
          <cell r="C103" t="str">
            <v>PRADO MENDOZA GONZALO</v>
          </cell>
          <cell r="D103">
            <v>46151</v>
          </cell>
          <cell r="E103" t="str">
            <v>A</v>
          </cell>
          <cell r="H103" t="str">
            <v>Asistencia</v>
          </cell>
        </row>
        <row r="104">
          <cell r="C104" t="str">
            <v>PRADO MENDOZA GONZALO</v>
          </cell>
          <cell r="D104">
            <v>46152</v>
          </cell>
          <cell r="E104" t="str">
            <v>DR</v>
          </cell>
          <cell r="H104" t="str">
            <v>D. Remunerado</v>
          </cell>
        </row>
        <row r="105">
          <cell r="C105" t="str">
            <v>PRADO MENDOZA GONZALO</v>
          </cell>
          <cell r="D105">
            <v>46153</v>
          </cell>
          <cell r="E105" t="str">
            <v>A</v>
          </cell>
          <cell r="H105" t="str">
            <v>Asistencia</v>
          </cell>
        </row>
        <row r="106">
          <cell r="C106" t="str">
            <v>PRADO MENDOZA GONZALO</v>
          </cell>
          <cell r="D106">
            <v>46154</v>
          </cell>
          <cell r="E106" t="str">
            <v>A</v>
          </cell>
          <cell r="H106" t="str">
            <v>Asistencia</v>
          </cell>
        </row>
        <row r="107">
          <cell r="C107" t="str">
            <v>PRADO MENDOZA GONZALO</v>
          </cell>
          <cell r="D107">
            <v>46155</v>
          </cell>
          <cell r="E107" t="str">
            <v>A</v>
          </cell>
          <cell r="H107" t="str">
            <v>Asistencia</v>
          </cell>
        </row>
        <row r="108">
          <cell r="C108" t="str">
            <v>PRADO MENDOZA GONZALO</v>
          </cell>
          <cell r="D108">
            <v>46156</v>
          </cell>
          <cell r="E108" t="str">
            <v>A</v>
          </cell>
          <cell r="H108" t="str">
            <v>Asistencia</v>
          </cell>
        </row>
        <row r="109">
          <cell r="C109" t="str">
            <v>PRADO MENDOZA GONZALO</v>
          </cell>
          <cell r="D109">
            <v>46157</v>
          </cell>
          <cell r="E109" t="str">
            <v>A</v>
          </cell>
          <cell r="H109" t="str">
            <v>Asistencia</v>
          </cell>
        </row>
        <row r="110">
          <cell r="C110" t="str">
            <v>PRADO MENDOZA GONZALO</v>
          </cell>
          <cell r="D110">
            <v>46158</v>
          </cell>
          <cell r="E110" t="str">
            <v>A</v>
          </cell>
          <cell r="H110" t="str">
            <v>Asistencia</v>
          </cell>
        </row>
        <row r="111">
          <cell r="C111" t="str">
            <v>PRADO MENDOZA GONZALO</v>
          </cell>
          <cell r="D111">
            <v>46159</v>
          </cell>
          <cell r="E111" t="str">
            <v>DR</v>
          </cell>
          <cell r="H111" t="str">
            <v>D. Remunerado</v>
          </cell>
        </row>
        <row r="112">
          <cell r="C112" t="str">
            <v>PRADO MENDOZA GONZALO</v>
          </cell>
          <cell r="D112">
            <v>46160</v>
          </cell>
          <cell r="E112" t="str">
            <v>A</v>
          </cell>
          <cell r="H112" t="str">
            <v>Asistencia</v>
          </cell>
        </row>
        <row r="113">
          <cell r="C113" t="str">
            <v>PRADO MENDOZA GONZALO</v>
          </cell>
          <cell r="D113">
            <v>46161</v>
          </cell>
          <cell r="E113" t="str">
            <v>A</v>
          </cell>
          <cell r="H113" t="str">
            <v>Asistencia</v>
          </cell>
        </row>
        <row r="114">
          <cell r="C114" t="str">
            <v>PRADO MENDOZA GONZALO</v>
          </cell>
          <cell r="D114">
            <v>46162</v>
          </cell>
          <cell r="E114" t="str">
            <v>A</v>
          </cell>
          <cell r="H114" t="str">
            <v>Asistencia</v>
          </cell>
        </row>
        <row r="115">
          <cell r="C115" t="str">
            <v>PRADO MENDOZA GONZALO</v>
          </cell>
          <cell r="D115">
            <v>46163</v>
          </cell>
          <cell r="E115" t="str">
            <v>A</v>
          </cell>
          <cell r="H115" t="str">
            <v>Asistencia</v>
          </cell>
        </row>
        <row r="116">
          <cell r="C116" t="str">
            <v>PRADO MENDOZA GONZALO</v>
          </cell>
          <cell r="D116">
            <v>46164</v>
          </cell>
          <cell r="E116" t="str">
            <v>A</v>
          </cell>
          <cell r="H116" t="str">
            <v>Asistencia</v>
          </cell>
        </row>
        <row r="117">
          <cell r="C117" t="str">
            <v>PRADO MENDOZA GONZALO</v>
          </cell>
          <cell r="D117">
            <v>46165</v>
          </cell>
          <cell r="E117" t="str">
            <v>A</v>
          </cell>
          <cell r="H117" t="str">
            <v>Asistencia</v>
          </cell>
        </row>
        <row r="118">
          <cell r="C118" t="str">
            <v>PRADO MENDOZA GONZALO</v>
          </cell>
          <cell r="D118">
            <v>46166</v>
          </cell>
          <cell r="E118" t="str">
            <v>DR</v>
          </cell>
          <cell r="H118" t="str">
            <v>D. Remunerado</v>
          </cell>
        </row>
        <row r="119">
          <cell r="C119" t="str">
            <v>PRADO MENDOZA GONZALO</v>
          </cell>
          <cell r="D119">
            <v>46167</v>
          </cell>
          <cell r="E119" t="str">
            <v>A</v>
          </cell>
          <cell r="H119" t="str">
            <v>Asistencia</v>
          </cell>
        </row>
        <row r="120">
          <cell r="C120" t="str">
            <v>PRADO MENDOZA GONZALO</v>
          </cell>
          <cell r="D120">
            <v>46168</v>
          </cell>
          <cell r="E120" t="str">
            <v>A</v>
          </cell>
          <cell r="H120" t="str">
            <v>Asistencia</v>
          </cell>
        </row>
        <row r="121">
          <cell r="C121" t="str">
            <v>PRADO MENDOZA GONZALO</v>
          </cell>
          <cell r="D121">
            <v>46169</v>
          </cell>
          <cell r="E121" t="str">
            <v>A</v>
          </cell>
          <cell r="H121" t="str">
            <v>Asistencia</v>
          </cell>
        </row>
        <row r="122">
          <cell r="C122" t="str">
            <v>PRADO MENDOZA GONZALO</v>
          </cell>
          <cell r="D122">
            <v>46170</v>
          </cell>
          <cell r="E122" t="str">
            <v>A</v>
          </cell>
          <cell r="H122" t="str">
            <v>Asistencia</v>
          </cell>
        </row>
        <row r="123">
          <cell r="C123" t="str">
            <v>PRADO MENDOZA GONZALO</v>
          </cell>
          <cell r="D123">
            <v>46171</v>
          </cell>
          <cell r="E123" t="str">
            <v>A</v>
          </cell>
          <cell r="H123" t="str">
            <v>Asistencia</v>
          </cell>
        </row>
        <row r="124">
          <cell r="C124" t="str">
            <v>PRADO MENDOZA GONZALO</v>
          </cell>
          <cell r="D124">
            <v>46172</v>
          </cell>
          <cell r="E124" t="str">
            <v>A</v>
          </cell>
          <cell r="H124" t="str">
            <v>Asistencia</v>
          </cell>
        </row>
        <row r="125">
          <cell r="C125" t="str">
            <v>PRADO MENDOZA GONZALO</v>
          </cell>
          <cell r="D125">
            <v>46173</v>
          </cell>
          <cell r="E125" t="str">
            <v>DR</v>
          </cell>
          <cell r="H125" t="str">
            <v>D. Remunerado</v>
          </cell>
        </row>
        <row r="126">
          <cell r="C126" t="str">
            <v>MOYA NAMOC PERCY LUIS</v>
          </cell>
          <cell r="D126">
            <v>46143</v>
          </cell>
          <cell r="E126" t="str">
            <v>A</v>
          </cell>
          <cell r="H126" t="str">
            <v>Asistencia</v>
          </cell>
        </row>
        <row r="127">
          <cell r="C127" t="str">
            <v>MOYA NAMOC PERCY LUIS</v>
          </cell>
          <cell r="D127">
            <v>46144</v>
          </cell>
          <cell r="E127" t="str">
            <v>A</v>
          </cell>
          <cell r="H127" t="str">
            <v>Asistencia</v>
          </cell>
        </row>
        <row r="128">
          <cell r="C128" t="str">
            <v>MOYA NAMOC PERCY LUIS</v>
          </cell>
          <cell r="D128">
            <v>46145</v>
          </cell>
          <cell r="E128" t="str">
            <v>DR</v>
          </cell>
          <cell r="H128" t="str">
            <v>D. Remunerado</v>
          </cell>
        </row>
        <row r="129">
          <cell r="C129" t="str">
            <v>MOYA NAMOC PERCY LUIS</v>
          </cell>
          <cell r="D129">
            <v>46146</v>
          </cell>
          <cell r="E129" t="str">
            <v>A</v>
          </cell>
          <cell r="H129" t="str">
            <v>Asistencia</v>
          </cell>
        </row>
        <row r="130">
          <cell r="C130" t="str">
            <v>MOYA NAMOC PERCY LUIS</v>
          </cell>
          <cell r="D130">
            <v>46147</v>
          </cell>
          <cell r="E130" t="str">
            <v>A</v>
          </cell>
          <cell r="H130" t="str">
            <v>Asistencia</v>
          </cell>
        </row>
        <row r="131">
          <cell r="C131" t="str">
            <v>MOYA NAMOC PERCY LUIS</v>
          </cell>
          <cell r="D131">
            <v>46148</v>
          </cell>
          <cell r="E131" t="str">
            <v>A</v>
          </cell>
          <cell r="H131" t="str">
            <v>Asistencia</v>
          </cell>
        </row>
        <row r="132">
          <cell r="C132" t="str">
            <v>MOYA NAMOC PERCY LUIS</v>
          </cell>
          <cell r="D132">
            <v>46149</v>
          </cell>
          <cell r="E132" t="str">
            <v>A</v>
          </cell>
          <cell r="H132" t="str">
            <v>Asistencia</v>
          </cell>
        </row>
        <row r="133">
          <cell r="C133" t="str">
            <v>MOYA NAMOC PERCY LUIS</v>
          </cell>
          <cell r="D133">
            <v>46150</v>
          </cell>
          <cell r="E133" t="str">
            <v>A</v>
          </cell>
          <cell r="H133" t="str">
            <v>Asistencia</v>
          </cell>
        </row>
        <row r="134">
          <cell r="C134" t="str">
            <v>MOYA NAMOC PERCY LUIS</v>
          </cell>
          <cell r="D134">
            <v>46151</v>
          </cell>
          <cell r="E134" t="str">
            <v>A</v>
          </cell>
          <cell r="H134" t="str">
            <v>Asistencia</v>
          </cell>
        </row>
        <row r="135">
          <cell r="C135" t="str">
            <v>MOYA NAMOC PERCY LUIS</v>
          </cell>
          <cell r="D135">
            <v>46152</v>
          </cell>
          <cell r="E135" t="str">
            <v>DR</v>
          </cell>
          <cell r="H135" t="str">
            <v>D. Remunerado</v>
          </cell>
        </row>
        <row r="136">
          <cell r="C136" t="str">
            <v>MOYA NAMOC PERCY LUIS</v>
          </cell>
          <cell r="D136">
            <v>46153</v>
          </cell>
          <cell r="E136" t="str">
            <v>A</v>
          </cell>
          <cell r="H136" t="str">
            <v>Asistencia</v>
          </cell>
        </row>
        <row r="137">
          <cell r="C137" t="str">
            <v>MOYA NAMOC PERCY LUIS</v>
          </cell>
          <cell r="D137">
            <v>46154</v>
          </cell>
          <cell r="E137" t="str">
            <v>A</v>
          </cell>
          <cell r="H137" t="str">
            <v>Asistencia</v>
          </cell>
        </row>
        <row r="138">
          <cell r="C138" t="str">
            <v>MOYA NAMOC PERCY LUIS</v>
          </cell>
          <cell r="D138">
            <v>46155</v>
          </cell>
          <cell r="E138" t="str">
            <v>A</v>
          </cell>
          <cell r="H138" t="str">
            <v>Asistencia</v>
          </cell>
        </row>
        <row r="139">
          <cell r="C139" t="str">
            <v>MOYA NAMOC PERCY LUIS</v>
          </cell>
          <cell r="D139">
            <v>46156</v>
          </cell>
          <cell r="E139" t="str">
            <v>A</v>
          </cell>
          <cell r="H139" t="str">
            <v>Asistencia</v>
          </cell>
        </row>
        <row r="140">
          <cell r="C140" t="str">
            <v>MOYA NAMOC PERCY LUIS</v>
          </cell>
          <cell r="D140">
            <v>46157</v>
          </cell>
          <cell r="E140" t="str">
            <v>A</v>
          </cell>
          <cell r="H140" t="str">
            <v>Asistencia</v>
          </cell>
        </row>
        <row r="141">
          <cell r="C141" t="str">
            <v>MOYA NAMOC PERCY LUIS</v>
          </cell>
          <cell r="D141">
            <v>46158</v>
          </cell>
          <cell r="E141" t="str">
            <v>A</v>
          </cell>
          <cell r="H141" t="str">
            <v>Asistencia</v>
          </cell>
        </row>
        <row r="142">
          <cell r="C142" t="str">
            <v>MOYA NAMOC PERCY LUIS</v>
          </cell>
          <cell r="D142">
            <v>46159</v>
          </cell>
          <cell r="E142" t="str">
            <v>DR</v>
          </cell>
          <cell r="H142" t="str">
            <v>D. Remunerado</v>
          </cell>
        </row>
        <row r="143">
          <cell r="C143" t="str">
            <v>MOYA NAMOC PERCY LUIS</v>
          </cell>
          <cell r="D143">
            <v>46160</v>
          </cell>
          <cell r="E143" t="str">
            <v>A</v>
          </cell>
          <cell r="H143" t="str">
            <v>Asistencia</v>
          </cell>
        </row>
        <row r="144">
          <cell r="C144" t="str">
            <v>MOYA NAMOC PERCY LUIS</v>
          </cell>
          <cell r="D144">
            <v>46161</v>
          </cell>
          <cell r="E144" t="str">
            <v>A</v>
          </cell>
          <cell r="H144" t="str">
            <v>Asistencia</v>
          </cell>
        </row>
        <row r="145">
          <cell r="C145" t="str">
            <v>MOYA NAMOC PERCY LUIS</v>
          </cell>
          <cell r="D145">
            <v>46162</v>
          </cell>
          <cell r="E145" t="str">
            <v>A</v>
          </cell>
          <cell r="H145" t="str">
            <v>Asistencia</v>
          </cell>
        </row>
        <row r="146">
          <cell r="C146" t="str">
            <v>MOYA NAMOC PERCY LUIS</v>
          </cell>
          <cell r="D146">
            <v>46163</v>
          </cell>
          <cell r="E146" t="str">
            <v>A</v>
          </cell>
          <cell r="H146" t="str">
            <v>Asistencia</v>
          </cell>
        </row>
        <row r="147">
          <cell r="C147" t="str">
            <v>MOYA NAMOC PERCY LUIS</v>
          </cell>
          <cell r="D147">
            <v>46164</v>
          </cell>
          <cell r="E147" t="str">
            <v>A</v>
          </cell>
          <cell r="H147" t="str">
            <v>Asistencia</v>
          </cell>
        </row>
        <row r="148">
          <cell r="C148" t="str">
            <v>MOYA NAMOC PERCY LUIS</v>
          </cell>
          <cell r="D148">
            <v>46165</v>
          </cell>
          <cell r="E148" t="str">
            <v>A</v>
          </cell>
          <cell r="H148" t="str">
            <v>Asistencia</v>
          </cell>
        </row>
        <row r="149">
          <cell r="C149" t="str">
            <v>MOYA NAMOC PERCY LUIS</v>
          </cell>
          <cell r="D149">
            <v>46166</v>
          </cell>
          <cell r="E149" t="str">
            <v>DR</v>
          </cell>
          <cell r="H149" t="str">
            <v>D. Remunerado</v>
          </cell>
        </row>
        <row r="150">
          <cell r="C150" t="str">
            <v>MOYA NAMOC PERCY LUIS</v>
          </cell>
          <cell r="D150">
            <v>46167</v>
          </cell>
          <cell r="E150" t="str">
            <v>A</v>
          </cell>
          <cell r="H150" t="str">
            <v>Asistencia</v>
          </cell>
        </row>
        <row r="151">
          <cell r="C151" t="str">
            <v>MOYA NAMOC PERCY LUIS</v>
          </cell>
          <cell r="D151">
            <v>46168</v>
          </cell>
          <cell r="E151" t="str">
            <v>A</v>
          </cell>
          <cell r="H151" t="str">
            <v>Asistencia</v>
          </cell>
        </row>
        <row r="152">
          <cell r="C152" t="str">
            <v>MOYA NAMOC PERCY LUIS</v>
          </cell>
          <cell r="D152">
            <v>46169</v>
          </cell>
          <cell r="E152" t="str">
            <v>A</v>
          </cell>
          <cell r="H152" t="str">
            <v>Asistencia</v>
          </cell>
        </row>
        <row r="153">
          <cell r="C153" t="str">
            <v>MOYA NAMOC PERCY LUIS</v>
          </cell>
          <cell r="D153">
            <v>46170</v>
          </cell>
          <cell r="E153" t="str">
            <v>A</v>
          </cell>
          <cell r="H153" t="str">
            <v>Asistencia</v>
          </cell>
        </row>
        <row r="154">
          <cell r="C154" t="str">
            <v>MOYA NAMOC PERCY LUIS</v>
          </cell>
          <cell r="D154">
            <v>46171</v>
          </cell>
          <cell r="E154" t="str">
            <v>A</v>
          </cell>
          <cell r="H154" t="str">
            <v>Asistencia</v>
          </cell>
        </row>
        <row r="155">
          <cell r="C155" t="str">
            <v>MOYA NAMOC PERCY LUIS</v>
          </cell>
          <cell r="D155">
            <v>46172</v>
          </cell>
          <cell r="E155" t="str">
            <v>A</v>
          </cell>
          <cell r="H155" t="str">
            <v>Asistencia</v>
          </cell>
        </row>
        <row r="156">
          <cell r="C156" t="str">
            <v>MOYA NAMOC PERCY LUIS</v>
          </cell>
          <cell r="D156">
            <v>46173</v>
          </cell>
          <cell r="E156" t="str">
            <v>DR</v>
          </cell>
          <cell r="H156" t="str">
            <v>D. Remunerado</v>
          </cell>
        </row>
        <row r="157">
          <cell r="C157" t="str">
            <v>LALUPU ZAPATA CARLOS JAVIER</v>
          </cell>
          <cell r="D157">
            <v>46143</v>
          </cell>
          <cell r="E157" t="str">
            <v>A</v>
          </cell>
          <cell r="H157" t="str">
            <v>Asistencia</v>
          </cell>
        </row>
        <row r="158">
          <cell r="C158" t="str">
            <v>LALUPU ZAPATA CARLOS JAVIER</v>
          </cell>
          <cell r="D158">
            <v>46144</v>
          </cell>
          <cell r="E158" t="str">
            <v>A</v>
          </cell>
          <cell r="H158" t="str">
            <v>Asistencia</v>
          </cell>
        </row>
        <row r="159">
          <cell r="C159" t="str">
            <v>LALUPU ZAPATA CARLOS JAVIER</v>
          </cell>
          <cell r="D159">
            <v>46145</v>
          </cell>
          <cell r="E159" t="str">
            <v>A</v>
          </cell>
          <cell r="H159" t="str">
            <v>Asistencia</v>
          </cell>
        </row>
        <row r="160">
          <cell r="C160" t="str">
            <v>LALUPU ZAPATA CARLOS JAVIER</v>
          </cell>
          <cell r="D160">
            <v>46146</v>
          </cell>
          <cell r="E160" t="str">
            <v>A</v>
          </cell>
          <cell r="H160" t="str">
            <v>Asistencia</v>
          </cell>
        </row>
        <row r="161">
          <cell r="C161" t="str">
            <v>LALUPU ZAPATA CARLOS JAVIER</v>
          </cell>
          <cell r="D161">
            <v>46147</v>
          </cell>
          <cell r="E161" t="str">
            <v>A</v>
          </cell>
          <cell r="H161" t="str">
            <v>Asistencia</v>
          </cell>
        </row>
        <row r="162">
          <cell r="C162" t="str">
            <v>LALUPU ZAPATA CARLOS JAVIER</v>
          </cell>
          <cell r="D162">
            <v>46148</v>
          </cell>
          <cell r="E162" t="str">
            <v>A</v>
          </cell>
          <cell r="H162" t="str">
            <v>Asistencia</v>
          </cell>
        </row>
        <row r="163">
          <cell r="C163" t="str">
            <v>LALUPU ZAPATA CARLOS JAVIER</v>
          </cell>
          <cell r="D163">
            <v>46149</v>
          </cell>
          <cell r="E163" t="str">
            <v>A</v>
          </cell>
          <cell r="H163" t="str">
            <v>Asistencia</v>
          </cell>
        </row>
        <row r="164">
          <cell r="C164" t="str">
            <v>LALUPU ZAPATA CARLOS JAVIER</v>
          </cell>
          <cell r="D164">
            <v>46150</v>
          </cell>
          <cell r="E164" t="str">
            <v>A</v>
          </cell>
          <cell r="H164" t="str">
            <v>Asistencia</v>
          </cell>
        </row>
        <row r="165">
          <cell r="C165" t="str">
            <v>LALUPU ZAPATA CARLOS JAVIER</v>
          </cell>
          <cell r="D165">
            <v>46151</v>
          </cell>
          <cell r="E165" t="str">
            <v>A</v>
          </cell>
          <cell r="H165" t="str">
            <v>Asistencia</v>
          </cell>
        </row>
        <row r="166">
          <cell r="C166" t="str">
            <v>LALUPU ZAPATA CARLOS JAVIER</v>
          </cell>
          <cell r="D166">
            <v>46152</v>
          </cell>
          <cell r="E166" t="str">
            <v>DR</v>
          </cell>
          <cell r="H166" t="str">
            <v>D. Remunerado</v>
          </cell>
        </row>
        <row r="167">
          <cell r="C167" t="str">
            <v>LALUPU ZAPATA CARLOS JAVIER</v>
          </cell>
          <cell r="D167">
            <v>46153</v>
          </cell>
          <cell r="E167" t="str">
            <v>A</v>
          </cell>
          <cell r="H167" t="str">
            <v>Asistencia</v>
          </cell>
        </row>
        <row r="168">
          <cell r="C168" t="str">
            <v>LALUPU ZAPATA CARLOS JAVIER</v>
          </cell>
          <cell r="D168">
            <v>46154</v>
          </cell>
          <cell r="E168" t="str">
            <v>A</v>
          </cell>
          <cell r="H168" t="str">
            <v>Asistencia</v>
          </cell>
        </row>
        <row r="169">
          <cell r="C169" t="str">
            <v>LALUPU ZAPATA CARLOS JAVIER</v>
          </cell>
          <cell r="D169">
            <v>46155</v>
          </cell>
          <cell r="E169" t="str">
            <v>A</v>
          </cell>
          <cell r="H169" t="str">
            <v>Asistencia</v>
          </cell>
        </row>
        <row r="170">
          <cell r="C170" t="str">
            <v>LALUPU ZAPATA CARLOS JAVIER</v>
          </cell>
          <cell r="D170">
            <v>46156</v>
          </cell>
          <cell r="E170" t="str">
            <v>A</v>
          </cell>
          <cell r="H170" t="str">
            <v>Asistencia</v>
          </cell>
        </row>
        <row r="171">
          <cell r="C171" t="str">
            <v>LALUPU ZAPATA CARLOS JAVIER</v>
          </cell>
          <cell r="D171">
            <v>46157</v>
          </cell>
          <cell r="E171" t="str">
            <v>A</v>
          </cell>
          <cell r="H171" t="str">
            <v>Asistencia</v>
          </cell>
        </row>
        <row r="172">
          <cell r="C172" t="str">
            <v>LALUPU ZAPATA CARLOS JAVIER</v>
          </cell>
          <cell r="D172">
            <v>46158</v>
          </cell>
          <cell r="E172" t="str">
            <v>A</v>
          </cell>
          <cell r="H172" t="str">
            <v>Asistencia</v>
          </cell>
        </row>
        <row r="173">
          <cell r="C173" t="str">
            <v>LALUPU ZAPATA CARLOS JAVIER</v>
          </cell>
          <cell r="D173">
            <v>46159</v>
          </cell>
          <cell r="E173" t="str">
            <v>A</v>
          </cell>
          <cell r="H173" t="str">
            <v>Asistencia</v>
          </cell>
        </row>
        <row r="174">
          <cell r="C174" t="str">
            <v>LALUPU ZAPATA CARLOS JAVIER</v>
          </cell>
          <cell r="D174">
            <v>46160</v>
          </cell>
          <cell r="E174" t="str">
            <v>A</v>
          </cell>
          <cell r="H174" t="str">
            <v>Asistencia</v>
          </cell>
        </row>
        <row r="175">
          <cell r="C175" t="str">
            <v>LALUPU ZAPATA CARLOS JAVIER</v>
          </cell>
          <cell r="D175">
            <v>46161</v>
          </cell>
          <cell r="E175" t="str">
            <v>A</v>
          </cell>
          <cell r="H175" t="str">
            <v>Asistencia</v>
          </cell>
        </row>
        <row r="176">
          <cell r="C176" t="str">
            <v>LALUPU ZAPATA CARLOS JAVIER</v>
          </cell>
          <cell r="D176">
            <v>46162</v>
          </cell>
          <cell r="E176" t="str">
            <v>A</v>
          </cell>
          <cell r="H176" t="str">
            <v>Asistencia</v>
          </cell>
        </row>
        <row r="177">
          <cell r="C177" t="str">
            <v>LALUPU ZAPATA CARLOS JAVIER</v>
          </cell>
          <cell r="D177">
            <v>46163</v>
          </cell>
          <cell r="E177" t="str">
            <v>A</v>
          </cell>
          <cell r="H177" t="str">
            <v>Asistencia</v>
          </cell>
        </row>
        <row r="178">
          <cell r="C178" t="str">
            <v>LALUPU ZAPATA CARLOS JAVIER</v>
          </cell>
          <cell r="D178">
            <v>46164</v>
          </cell>
          <cell r="E178" t="str">
            <v>A</v>
          </cell>
          <cell r="H178" t="str">
            <v>Asistencia</v>
          </cell>
        </row>
        <row r="179">
          <cell r="C179" t="str">
            <v>LALUPU ZAPATA CARLOS JAVIER</v>
          </cell>
          <cell r="D179">
            <v>46165</v>
          </cell>
          <cell r="E179" t="str">
            <v>A</v>
          </cell>
          <cell r="H179" t="str">
            <v>Asistencia</v>
          </cell>
        </row>
        <row r="180">
          <cell r="C180" t="str">
            <v>LALUPU ZAPATA CARLOS JAVIER</v>
          </cell>
          <cell r="D180">
            <v>46166</v>
          </cell>
          <cell r="E180" t="str">
            <v>A</v>
          </cell>
          <cell r="H180" t="str">
            <v>Asistencia</v>
          </cell>
        </row>
        <row r="181">
          <cell r="C181" t="str">
            <v>LALUPU ZAPATA CARLOS JAVIER</v>
          </cell>
          <cell r="D181">
            <v>46167</v>
          </cell>
          <cell r="E181" t="str">
            <v>A</v>
          </cell>
          <cell r="H181" t="str">
            <v>Asistencia</v>
          </cell>
        </row>
        <row r="182">
          <cell r="C182" t="str">
            <v>LALUPU ZAPATA CARLOS JAVIER</v>
          </cell>
          <cell r="D182">
            <v>46168</v>
          </cell>
          <cell r="E182" t="str">
            <v>A</v>
          </cell>
          <cell r="H182" t="str">
            <v>Asistencia</v>
          </cell>
        </row>
        <row r="183">
          <cell r="C183" t="str">
            <v>LALUPU ZAPATA CARLOS JAVIER</v>
          </cell>
          <cell r="D183">
            <v>46169</v>
          </cell>
          <cell r="E183" t="str">
            <v>A</v>
          </cell>
          <cell r="H183" t="str">
            <v>Asistencia</v>
          </cell>
        </row>
        <row r="184">
          <cell r="C184" t="str">
            <v>LALUPU ZAPATA CARLOS JAVIER</v>
          </cell>
          <cell r="D184">
            <v>46170</v>
          </cell>
          <cell r="E184" t="str">
            <v>A</v>
          </cell>
          <cell r="H184" t="str">
            <v>Asistencia</v>
          </cell>
        </row>
        <row r="185">
          <cell r="C185" t="str">
            <v>LALUPU ZAPATA CARLOS JAVIER</v>
          </cell>
          <cell r="D185">
            <v>46171</v>
          </cell>
          <cell r="E185" t="str">
            <v>A</v>
          </cell>
          <cell r="H185" t="str">
            <v>Asistencia</v>
          </cell>
        </row>
        <row r="186">
          <cell r="C186" t="str">
            <v>LALUPU ZAPATA CARLOS JAVIER</v>
          </cell>
          <cell r="D186">
            <v>46172</v>
          </cell>
          <cell r="E186" t="str">
            <v>A</v>
          </cell>
          <cell r="H186" t="str">
            <v>Asistencia</v>
          </cell>
        </row>
        <row r="187">
          <cell r="C187" t="str">
            <v>LALUPU ZAPATA CARLOS JAVIER</v>
          </cell>
          <cell r="D187">
            <v>46173</v>
          </cell>
          <cell r="E187" t="str">
            <v>DNR</v>
          </cell>
          <cell r="H187" t="str">
            <v>No Remunerado</v>
          </cell>
        </row>
        <row r="188">
          <cell r="C188" t="str">
            <v>GARCIA RAMOS JOSE ISMAEL</v>
          </cell>
          <cell r="D188">
            <v>46143</v>
          </cell>
          <cell r="E188" t="str">
            <v>A</v>
          </cell>
          <cell r="H188" t="str">
            <v>Asistencia</v>
          </cell>
        </row>
        <row r="189">
          <cell r="C189" t="str">
            <v>GARCIA RAMOS JOSE ISMAEL</v>
          </cell>
          <cell r="D189">
            <v>46144</v>
          </cell>
          <cell r="E189" t="str">
            <v>A</v>
          </cell>
          <cell r="H189" t="str">
            <v>Asistencia</v>
          </cell>
        </row>
        <row r="190">
          <cell r="C190" t="str">
            <v>GARCIA RAMOS JOSE ISMAEL</v>
          </cell>
          <cell r="D190">
            <v>46145</v>
          </cell>
          <cell r="E190" t="str">
            <v>A</v>
          </cell>
          <cell r="H190" t="str">
            <v>Asistencia</v>
          </cell>
        </row>
        <row r="191">
          <cell r="C191" t="str">
            <v>GARCIA RAMOS JOSE ISMAEL</v>
          </cell>
          <cell r="D191">
            <v>46146</v>
          </cell>
          <cell r="E191" t="str">
            <v>A</v>
          </cell>
          <cell r="H191" t="str">
            <v>Asistencia</v>
          </cell>
        </row>
        <row r="192">
          <cell r="C192" t="str">
            <v>GARCIA RAMOS JOSE ISMAEL</v>
          </cell>
          <cell r="D192">
            <v>46147</v>
          </cell>
          <cell r="E192" t="str">
            <v>A</v>
          </cell>
          <cell r="H192" t="str">
            <v>Asistencia</v>
          </cell>
        </row>
        <row r="193">
          <cell r="C193" t="str">
            <v>GARCIA RAMOS JOSE ISMAEL</v>
          </cell>
          <cell r="D193">
            <v>46148</v>
          </cell>
          <cell r="E193" t="str">
            <v>A</v>
          </cell>
          <cell r="H193" t="str">
            <v>Asistencia</v>
          </cell>
        </row>
        <row r="194">
          <cell r="C194" t="str">
            <v>GARCIA RAMOS JOSE ISMAEL</v>
          </cell>
          <cell r="D194">
            <v>46149</v>
          </cell>
          <cell r="E194" t="str">
            <v>A</v>
          </cell>
          <cell r="H194" t="str">
            <v>Asistencia</v>
          </cell>
        </row>
        <row r="195">
          <cell r="C195" t="str">
            <v>GARCIA RAMOS JOSE ISMAEL</v>
          </cell>
          <cell r="D195">
            <v>46150</v>
          </cell>
          <cell r="E195" t="str">
            <v>A</v>
          </cell>
          <cell r="H195" t="str">
            <v>Asistencia</v>
          </cell>
        </row>
        <row r="196">
          <cell r="C196" t="str">
            <v>GARCIA RAMOS JOSE ISMAEL</v>
          </cell>
          <cell r="D196">
            <v>46151</v>
          </cell>
          <cell r="E196" t="str">
            <v>A</v>
          </cell>
          <cell r="H196" t="str">
            <v>Asistencia</v>
          </cell>
        </row>
        <row r="197">
          <cell r="C197" t="str">
            <v>GARCIA RAMOS JOSE ISMAEL</v>
          </cell>
          <cell r="D197">
            <v>46152</v>
          </cell>
          <cell r="E197" t="str">
            <v>DR</v>
          </cell>
          <cell r="H197" t="str">
            <v>D. Remunerado</v>
          </cell>
        </row>
        <row r="198">
          <cell r="C198" t="str">
            <v>GARCIA RAMOS JOSE ISMAEL</v>
          </cell>
          <cell r="D198">
            <v>46153</v>
          </cell>
          <cell r="E198" t="str">
            <v>A</v>
          </cell>
          <cell r="H198" t="str">
            <v>Asistencia</v>
          </cell>
        </row>
        <row r="199">
          <cell r="C199" t="str">
            <v>GARCIA RAMOS JOSE ISMAEL</v>
          </cell>
          <cell r="D199">
            <v>46154</v>
          </cell>
          <cell r="E199" t="str">
            <v>A</v>
          </cell>
          <cell r="H199" t="str">
            <v>Asistencia</v>
          </cell>
        </row>
        <row r="200">
          <cell r="C200" t="str">
            <v>GARCIA RAMOS JOSE ISMAEL</v>
          </cell>
          <cell r="D200">
            <v>46155</v>
          </cell>
          <cell r="E200" t="str">
            <v>A</v>
          </cell>
          <cell r="H200" t="str">
            <v>Asistencia</v>
          </cell>
        </row>
        <row r="201">
          <cell r="C201" t="str">
            <v>GARCIA RAMOS JOSE ISMAEL</v>
          </cell>
          <cell r="D201">
            <v>46156</v>
          </cell>
          <cell r="E201" t="str">
            <v>A</v>
          </cell>
          <cell r="H201" t="str">
            <v>Asistencia</v>
          </cell>
        </row>
        <row r="202">
          <cell r="C202" t="str">
            <v>GARCIA RAMOS JOSE ISMAEL</v>
          </cell>
          <cell r="D202">
            <v>46157</v>
          </cell>
          <cell r="E202" t="str">
            <v>A</v>
          </cell>
          <cell r="H202" t="str">
            <v>Asistencia</v>
          </cell>
        </row>
        <row r="203">
          <cell r="C203" t="str">
            <v>GARCIA RAMOS JOSE ISMAEL</v>
          </cell>
          <cell r="D203">
            <v>46158</v>
          </cell>
          <cell r="E203" t="str">
            <v>A</v>
          </cell>
          <cell r="H203" t="str">
            <v>Asistencia</v>
          </cell>
        </row>
        <row r="204">
          <cell r="C204" t="str">
            <v>GARCIA RAMOS JOSE ISMAEL</v>
          </cell>
          <cell r="D204">
            <v>46159</v>
          </cell>
          <cell r="E204" t="str">
            <v>A</v>
          </cell>
          <cell r="H204" t="str">
            <v>Asistencia</v>
          </cell>
        </row>
        <row r="205">
          <cell r="C205" t="str">
            <v>GARCIA RAMOS JOSE ISMAEL</v>
          </cell>
          <cell r="D205">
            <v>46160</v>
          </cell>
          <cell r="E205" t="str">
            <v>A</v>
          </cell>
          <cell r="H205" t="str">
            <v>Asistencia</v>
          </cell>
        </row>
        <row r="206">
          <cell r="C206" t="str">
            <v>GARCIA RAMOS JOSE ISMAEL</v>
          </cell>
          <cell r="D206">
            <v>46161</v>
          </cell>
          <cell r="E206" t="str">
            <v>A</v>
          </cell>
          <cell r="H206" t="str">
            <v>Asistencia</v>
          </cell>
        </row>
        <row r="207">
          <cell r="C207" t="str">
            <v>GARCIA RAMOS JOSE ISMAEL</v>
          </cell>
          <cell r="D207">
            <v>46162</v>
          </cell>
          <cell r="E207" t="str">
            <v>A</v>
          </cell>
          <cell r="H207" t="str">
            <v>Asistencia</v>
          </cell>
        </row>
        <row r="208">
          <cell r="C208" t="str">
            <v>GARCIA RAMOS JOSE ISMAEL</v>
          </cell>
          <cell r="D208">
            <v>46163</v>
          </cell>
          <cell r="E208" t="str">
            <v>A</v>
          </cell>
          <cell r="H208" t="str">
            <v>Asistencia</v>
          </cell>
        </row>
        <row r="209">
          <cell r="C209" t="str">
            <v>GARCIA RAMOS JOSE ISMAEL</v>
          </cell>
          <cell r="D209">
            <v>46164</v>
          </cell>
          <cell r="E209" t="str">
            <v>A</v>
          </cell>
          <cell r="H209" t="str">
            <v>Asistencia</v>
          </cell>
        </row>
        <row r="210">
          <cell r="C210" t="str">
            <v>GARCIA RAMOS JOSE ISMAEL</v>
          </cell>
          <cell r="D210">
            <v>46165</v>
          </cell>
          <cell r="E210" t="str">
            <v>A</v>
          </cell>
          <cell r="H210" t="str">
            <v>Asistencia</v>
          </cell>
        </row>
        <row r="211">
          <cell r="C211" t="str">
            <v>GARCIA RAMOS JOSE ISMAEL</v>
          </cell>
          <cell r="D211">
            <v>46166</v>
          </cell>
          <cell r="E211" t="str">
            <v>A</v>
          </cell>
          <cell r="H211" t="str">
            <v>Asistencia</v>
          </cell>
        </row>
        <row r="212">
          <cell r="C212" t="str">
            <v>GARCIA RAMOS JOSE ISMAEL</v>
          </cell>
          <cell r="D212">
            <v>46167</v>
          </cell>
          <cell r="E212" t="str">
            <v>A</v>
          </cell>
          <cell r="H212" t="str">
            <v>Asistencia</v>
          </cell>
        </row>
        <row r="213">
          <cell r="C213" t="str">
            <v>GARCIA RAMOS JOSE ISMAEL</v>
          </cell>
          <cell r="D213">
            <v>46168</v>
          </cell>
          <cell r="E213" t="str">
            <v>A</v>
          </cell>
          <cell r="H213" t="str">
            <v>Asistencia</v>
          </cell>
        </row>
        <row r="214">
          <cell r="C214" t="str">
            <v>GARCIA RAMOS JOSE ISMAEL</v>
          </cell>
          <cell r="D214">
            <v>46169</v>
          </cell>
          <cell r="E214" t="str">
            <v>A</v>
          </cell>
          <cell r="H214" t="str">
            <v>Asistencia</v>
          </cell>
        </row>
        <row r="215">
          <cell r="C215" t="str">
            <v>GARCIA RAMOS JOSE ISMAEL</v>
          </cell>
          <cell r="D215">
            <v>46170</v>
          </cell>
          <cell r="E215" t="str">
            <v>A</v>
          </cell>
          <cell r="H215" t="str">
            <v>Asistencia</v>
          </cell>
        </row>
        <row r="216">
          <cell r="C216" t="str">
            <v>GARCIA RAMOS JOSE ISMAEL</v>
          </cell>
          <cell r="D216">
            <v>46171</v>
          </cell>
          <cell r="E216" t="str">
            <v>A</v>
          </cell>
          <cell r="H216" t="str">
            <v>Asistencia</v>
          </cell>
        </row>
        <row r="217">
          <cell r="C217" t="str">
            <v>GARCIA RAMOS JOSE ISMAEL</v>
          </cell>
          <cell r="D217">
            <v>46172</v>
          </cell>
          <cell r="E217" t="str">
            <v>A</v>
          </cell>
          <cell r="H217" t="str">
            <v>Asistencia</v>
          </cell>
        </row>
        <row r="218">
          <cell r="C218" t="str">
            <v>GARCIA RAMOS JOSE ISMAEL</v>
          </cell>
          <cell r="D218">
            <v>46173</v>
          </cell>
          <cell r="E218" t="str">
            <v>A</v>
          </cell>
          <cell r="H218" t="str">
            <v>Asistencia</v>
          </cell>
        </row>
        <row r="219">
          <cell r="C219" t="str">
            <v>LEYVA CARRERA MARIANO YOEL</v>
          </cell>
          <cell r="D219">
            <v>46143</v>
          </cell>
          <cell r="E219" t="str">
            <v>A</v>
          </cell>
          <cell r="H219" t="str">
            <v>Asistencia</v>
          </cell>
        </row>
        <row r="220">
          <cell r="C220" t="str">
            <v>LEYVA CARRERA MARIANO YOEL</v>
          </cell>
          <cell r="D220">
            <v>46144</v>
          </cell>
          <cell r="E220" t="str">
            <v>A</v>
          </cell>
          <cell r="H220" t="str">
            <v>Asistencia</v>
          </cell>
        </row>
        <row r="221">
          <cell r="C221" t="str">
            <v>LEYVA CARRERA MARIANO YOEL</v>
          </cell>
          <cell r="D221">
            <v>46145</v>
          </cell>
          <cell r="E221" t="str">
            <v>A</v>
          </cell>
          <cell r="H221" t="str">
            <v>Asistencia</v>
          </cell>
        </row>
        <row r="222">
          <cell r="C222" t="str">
            <v>LEYVA CARRERA MARIANO YOEL</v>
          </cell>
          <cell r="D222">
            <v>46146</v>
          </cell>
          <cell r="E222" t="str">
            <v>A</v>
          </cell>
          <cell r="H222" t="str">
            <v>Asistencia</v>
          </cell>
        </row>
        <row r="223">
          <cell r="C223" t="str">
            <v>LEYVA CARRERA MARIANO YOEL</v>
          </cell>
          <cell r="D223">
            <v>46147</v>
          </cell>
          <cell r="E223" t="str">
            <v>A</v>
          </cell>
          <cell r="H223" t="str">
            <v>Asistencia</v>
          </cell>
        </row>
        <row r="224">
          <cell r="C224" t="str">
            <v>LEYVA CARRERA MARIANO YOEL</v>
          </cell>
          <cell r="D224">
            <v>46148</v>
          </cell>
          <cell r="E224" t="str">
            <v>A</v>
          </cell>
          <cell r="H224" t="str">
            <v>Asistencia</v>
          </cell>
        </row>
        <row r="225">
          <cell r="C225" t="str">
            <v>LEYVA CARRERA MARIANO YOEL</v>
          </cell>
          <cell r="D225">
            <v>46149</v>
          </cell>
          <cell r="E225" t="str">
            <v>A</v>
          </cell>
          <cell r="H225" t="str">
            <v>Asistencia</v>
          </cell>
        </row>
        <row r="226">
          <cell r="C226" t="str">
            <v>LEYVA CARRERA MARIANO YOEL</v>
          </cell>
          <cell r="D226">
            <v>46150</v>
          </cell>
          <cell r="E226" t="str">
            <v>A</v>
          </cell>
          <cell r="H226" t="str">
            <v>Asistencia</v>
          </cell>
        </row>
        <row r="227">
          <cell r="C227" t="str">
            <v>LEYVA CARRERA MARIANO YOEL</v>
          </cell>
          <cell r="D227">
            <v>46151</v>
          </cell>
          <cell r="E227" t="str">
            <v>A</v>
          </cell>
          <cell r="H227" t="str">
            <v>Asistencia</v>
          </cell>
        </row>
        <row r="228">
          <cell r="C228" t="str">
            <v>LEYVA CARRERA MARIANO YOEL</v>
          </cell>
          <cell r="D228">
            <v>46152</v>
          </cell>
          <cell r="E228" t="str">
            <v>DR</v>
          </cell>
          <cell r="H228" t="str">
            <v>D. Remunerado</v>
          </cell>
        </row>
        <row r="229">
          <cell r="C229" t="str">
            <v>LEYVA CARRERA MARIANO YOEL</v>
          </cell>
          <cell r="D229">
            <v>46153</v>
          </cell>
          <cell r="E229" t="str">
            <v>A</v>
          </cell>
          <cell r="H229" t="str">
            <v>Asistencia</v>
          </cell>
        </row>
        <row r="230">
          <cell r="C230" t="str">
            <v>LEYVA CARRERA MARIANO YOEL</v>
          </cell>
          <cell r="D230">
            <v>46154</v>
          </cell>
          <cell r="E230" t="str">
            <v>A</v>
          </cell>
          <cell r="H230" t="str">
            <v>Asistencia</v>
          </cell>
        </row>
        <row r="231">
          <cell r="C231" t="str">
            <v>LEYVA CARRERA MARIANO YOEL</v>
          </cell>
          <cell r="D231">
            <v>46155</v>
          </cell>
          <cell r="E231" t="str">
            <v>A</v>
          </cell>
          <cell r="H231" t="str">
            <v>Asistencia</v>
          </cell>
        </row>
        <row r="232">
          <cell r="C232" t="str">
            <v>LEYVA CARRERA MARIANO YOEL</v>
          </cell>
          <cell r="D232">
            <v>46156</v>
          </cell>
          <cell r="E232" t="str">
            <v>A</v>
          </cell>
          <cell r="H232" t="str">
            <v>Asistencia</v>
          </cell>
        </row>
        <row r="233">
          <cell r="C233" t="str">
            <v>LEYVA CARRERA MARIANO YOEL</v>
          </cell>
          <cell r="D233">
            <v>46157</v>
          </cell>
          <cell r="E233" t="str">
            <v>A</v>
          </cell>
          <cell r="H233" t="str">
            <v>Asistencia</v>
          </cell>
        </row>
        <row r="234">
          <cell r="C234" t="str">
            <v>LEYVA CARRERA MARIANO YOEL</v>
          </cell>
          <cell r="D234">
            <v>46158</v>
          </cell>
          <cell r="E234" t="str">
            <v>A</v>
          </cell>
          <cell r="H234" t="str">
            <v>Asistencia</v>
          </cell>
        </row>
        <row r="235">
          <cell r="C235" t="str">
            <v>LEYVA CARRERA MARIANO YOEL</v>
          </cell>
          <cell r="D235">
            <v>46159</v>
          </cell>
          <cell r="E235" t="str">
            <v>DR</v>
          </cell>
          <cell r="H235" t="str">
            <v>D. Remunerado</v>
          </cell>
        </row>
        <row r="236">
          <cell r="C236" t="str">
            <v>LEYVA CARRERA MARIANO YOEL</v>
          </cell>
          <cell r="D236">
            <v>46160</v>
          </cell>
          <cell r="E236" t="str">
            <v>DR</v>
          </cell>
          <cell r="H236" t="str">
            <v>D. Remunerado</v>
          </cell>
        </row>
        <row r="237">
          <cell r="C237" t="str">
            <v>LEYVA CARRERA MARIANO YOEL</v>
          </cell>
          <cell r="D237">
            <v>46161</v>
          </cell>
          <cell r="E237" t="str">
            <v>DR</v>
          </cell>
          <cell r="H237" t="str">
            <v>D. Remunerado</v>
          </cell>
        </row>
        <row r="238">
          <cell r="C238" t="str">
            <v>LEYVA CARRERA MARIANO YOEL</v>
          </cell>
          <cell r="D238">
            <v>46162</v>
          </cell>
          <cell r="E238" t="str">
            <v>DR</v>
          </cell>
          <cell r="H238" t="str">
            <v>D. Remunerado</v>
          </cell>
        </row>
        <row r="239">
          <cell r="C239" t="str">
            <v>LEYVA CARRERA MARIANO YOEL</v>
          </cell>
          <cell r="D239">
            <v>46163</v>
          </cell>
          <cell r="E239" t="str">
            <v>DNR</v>
          </cell>
          <cell r="H239" t="str">
            <v>No Remunerado</v>
          </cell>
        </row>
        <row r="240">
          <cell r="C240" t="str">
            <v>LEYVA CARRERA MARIANO YOEL</v>
          </cell>
          <cell r="D240">
            <v>46164</v>
          </cell>
          <cell r="E240" t="str">
            <v>A</v>
          </cell>
          <cell r="H240" t="str">
            <v>Asistencia</v>
          </cell>
        </row>
        <row r="241">
          <cell r="C241" t="str">
            <v>LEYVA CARRERA MARIANO YOEL</v>
          </cell>
          <cell r="D241">
            <v>46165</v>
          </cell>
          <cell r="E241" t="str">
            <v>A</v>
          </cell>
          <cell r="H241" t="str">
            <v>Asistencia</v>
          </cell>
        </row>
        <row r="242">
          <cell r="C242" t="str">
            <v>LEYVA CARRERA MARIANO YOEL</v>
          </cell>
          <cell r="D242">
            <v>46166</v>
          </cell>
          <cell r="E242" t="str">
            <v>A</v>
          </cell>
          <cell r="H242" t="str">
            <v>Asistencia</v>
          </cell>
        </row>
        <row r="243">
          <cell r="C243" t="str">
            <v>LEYVA CARRERA MARIANO YOEL</v>
          </cell>
          <cell r="D243">
            <v>46167</v>
          </cell>
          <cell r="E243" t="str">
            <v>DNR</v>
          </cell>
          <cell r="H243" t="str">
            <v>No Remunerado</v>
          </cell>
        </row>
        <row r="244">
          <cell r="C244" t="str">
            <v>LEYVA CARRERA MARIANO YOEL</v>
          </cell>
          <cell r="D244">
            <v>46168</v>
          </cell>
          <cell r="E244" t="str">
            <v>A</v>
          </cell>
          <cell r="H244" t="str">
            <v>Asistencia</v>
          </cell>
        </row>
        <row r="245">
          <cell r="C245" t="str">
            <v>LEYVA CARRERA MARIANO YOEL</v>
          </cell>
          <cell r="D245">
            <v>46169</v>
          </cell>
          <cell r="E245" t="str">
            <v>A</v>
          </cell>
          <cell r="H245" t="str">
            <v>Asistencia</v>
          </cell>
        </row>
        <row r="246">
          <cell r="C246" t="str">
            <v>LEYVA CARRERA MARIANO YOEL</v>
          </cell>
          <cell r="D246">
            <v>46170</v>
          </cell>
          <cell r="E246" t="str">
            <v>A</v>
          </cell>
          <cell r="H246" t="str">
            <v>Asistencia</v>
          </cell>
        </row>
        <row r="247">
          <cell r="C247" t="str">
            <v>LEYVA CARRERA MARIANO YOEL</v>
          </cell>
          <cell r="D247">
            <v>46171</v>
          </cell>
          <cell r="E247" t="str">
            <v>A</v>
          </cell>
          <cell r="H247" t="str">
            <v>Asistencia</v>
          </cell>
        </row>
        <row r="248">
          <cell r="C248" t="str">
            <v>LEYVA CARRERA MARIANO YOEL</v>
          </cell>
          <cell r="D248">
            <v>46172</v>
          </cell>
          <cell r="E248" t="str">
            <v>A</v>
          </cell>
          <cell r="H248" t="str">
            <v>Asistencia</v>
          </cell>
        </row>
        <row r="249">
          <cell r="C249" t="str">
            <v>LEYVA CARRERA MARIANO YOEL</v>
          </cell>
          <cell r="D249">
            <v>46173</v>
          </cell>
          <cell r="E249" t="str">
            <v>A</v>
          </cell>
          <cell r="H249" t="str">
            <v>Asistencia</v>
          </cell>
        </row>
        <row r="250">
          <cell r="C250" t="str">
            <v>PALACIOS FLORES SEGUNDO RICARDO</v>
          </cell>
          <cell r="D250">
            <v>46143</v>
          </cell>
          <cell r="E250" t="str">
            <v>B</v>
          </cell>
          <cell r="H250" t="e">
            <v>#N/A</v>
          </cell>
        </row>
        <row r="251">
          <cell r="C251" t="str">
            <v>PALACIOS FLORES SEGUNDO RICARDO</v>
          </cell>
          <cell r="D251">
            <v>46144</v>
          </cell>
          <cell r="E251" t="str">
            <v>B</v>
          </cell>
          <cell r="H251" t="e">
            <v>#N/A</v>
          </cell>
        </row>
        <row r="252">
          <cell r="C252" t="str">
            <v>PALACIOS FLORES SEGUNDO RICARDO</v>
          </cell>
          <cell r="D252">
            <v>46145</v>
          </cell>
          <cell r="E252" t="str">
            <v>B</v>
          </cell>
          <cell r="H252" t="e">
            <v>#N/A</v>
          </cell>
        </row>
        <row r="253">
          <cell r="C253" t="str">
            <v>PALACIOS FLORES SEGUNDO RICARDO</v>
          </cell>
          <cell r="D253">
            <v>46146</v>
          </cell>
          <cell r="E253" t="str">
            <v>B</v>
          </cell>
          <cell r="H253" t="e">
            <v>#N/A</v>
          </cell>
        </row>
        <row r="254">
          <cell r="C254" t="str">
            <v>PALACIOS FLORES SEGUNDO RICARDO</v>
          </cell>
          <cell r="D254">
            <v>46147</v>
          </cell>
          <cell r="E254" t="str">
            <v>B</v>
          </cell>
          <cell r="H254" t="e">
            <v>#N/A</v>
          </cell>
        </row>
        <row r="255">
          <cell r="C255" t="str">
            <v>PALACIOS FLORES SEGUNDO RICARDO</v>
          </cell>
          <cell r="D255">
            <v>46148</v>
          </cell>
          <cell r="E255" t="str">
            <v>B</v>
          </cell>
          <cell r="H255" t="e">
            <v>#N/A</v>
          </cell>
        </row>
        <row r="256">
          <cell r="C256" t="str">
            <v>PALACIOS FLORES SEGUNDO RICARDO</v>
          </cell>
          <cell r="D256">
            <v>46149</v>
          </cell>
          <cell r="E256" t="str">
            <v>B</v>
          </cell>
          <cell r="H256" t="e">
            <v>#N/A</v>
          </cell>
        </row>
        <row r="257">
          <cell r="C257" t="str">
            <v>PALACIOS FLORES SEGUNDO RICARDO</v>
          </cell>
          <cell r="D257">
            <v>46150</v>
          </cell>
          <cell r="E257" t="str">
            <v>B</v>
          </cell>
          <cell r="H257" t="e">
            <v>#N/A</v>
          </cell>
        </row>
        <row r="258">
          <cell r="C258" t="str">
            <v>PALACIOS FLORES SEGUNDO RICARDO</v>
          </cell>
          <cell r="D258">
            <v>46151</v>
          </cell>
          <cell r="E258" t="str">
            <v>B</v>
          </cell>
          <cell r="H258" t="e">
            <v>#N/A</v>
          </cell>
        </row>
        <row r="259">
          <cell r="C259" t="str">
            <v>PALACIOS FLORES SEGUNDO RICARDO</v>
          </cell>
          <cell r="D259">
            <v>46152</v>
          </cell>
          <cell r="E259" t="str">
            <v>B</v>
          </cell>
          <cell r="H259" t="e">
            <v>#N/A</v>
          </cell>
        </row>
        <row r="260">
          <cell r="C260" t="str">
            <v>PALACIOS FLORES SEGUNDO RICARDO</v>
          </cell>
          <cell r="D260">
            <v>46153</v>
          </cell>
          <cell r="E260" t="str">
            <v>B</v>
          </cell>
          <cell r="H260" t="e">
            <v>#N/A</v>
          </cell>
        </row>
        <row r="261">
          <cell r="C261" t="str">
            <v>PALACIOS FLORES SEGUNDO RICARDO</v>
          </cell>
          <cell r="D261">
            <v>46154</v>
          </cell>
          <cell r="E261" t="str">
            <v>B</v>
          </cell>
          <cell r="H261" t="e">
            <v>#N/A</v>
          </cell>
        </row>
        <row r="262">
          <cell r="C262" t="str">
            <v>PALACIOS FLORES SEGUNDO RICARDO</v>
          </cell>
          <cell r="D262">
            <v>46155</v>
          </cell>
          <cell r="E262" t="str">
            <v>B</v>
          </cell>
          <cell r="H262" t="e">
            <v>#N/A</v>
          </cell>
        </row>
        <row r="263">
          <cell r="C263" t="str">
            <v>PALACIOS FLORES SEGUNDO RICARDO</v>
          </cell>
          <cell r="D263">
            <v>46156</v>
          </cell>
          <cell r="E263" t="str">
            <v>B</v>
          </cell>
          <cell r="H263" t="e">
            <v>#N/A</v>
          </cell>
        </row>
        <row r="264">
          <cell r="C264" t="str">
            <v>PALACIOS FLORES SEGUNDO RICARDO</v>
          </cell>
          <cell r="D264">
            <v>46157</v>
          </cell>
          <cell r="E264" t="str">
            <v>B</v>
          </cell>
          <cell r="H264" t="e">
            <v>#N/A</v>
          </cell>
        </row>
        <row r="265">
          <cell r="C265" t="str">
            <v>PALACIOS FLORES SEGUNDO RICARDO</v>
          </cell>
          <cell r="D265">
            <v>46158</v>
          </cell>
          <cell r="E265" t="str">
            <v>A</v>
          </cell>
          <cell r="H265" t="str">
            <v>Asistencia</v>
          </cell>
        </row>
        <row r="266">
          <cell r="C266" t="str">
            <v>PALACIOS FLORES SEGUNDO RICARDO</v>
          </cell>
          <cell r="D266">
            <v>46159</v>
          </cell>
          <cell r="E266" t="str">
            <v>A</v>
          </cell>
          <cell r="H266" t="str">
            <v>Asistencia</v>
          </cell>
        </row>
        <row r="267">
          <cell r="C267" t="str">
            <v>PALACIOS FLORES SEGUNDO RICARDO</v>
          </cell>
          <cell r="D267">
            <v>46160</v>
          </cell>
          <cell r="E267" t="str">
            <v>A</v>
          </cell>
          <cell r="H267" t="str">
            <v>Asistencia</v>
          </cell>
        </row>
        <row r="268">
          <cell r="C268" t="str">
            <v>PALACIOS FLORES SEGUNDO RICARDO</v>
          </cell>
          <cell r="D268">
            <v>46161</v>
          </cell>
          <cell r="E268" t="str">
            <v>A</v>
          </cell>
          <cell r="H268" t="str">
            <v>Asistencia</v>
          </cell>
        </row>
        <row r="269">
          <cell r="C269" t="str">
            <v>PALACIOS FLORES SEGUNDO RICARDO</v>
          </cell>
          <cell r="D269">
            <v>46162</v>
          </cell>
          <cell r="E269" t="str">
            <v>A</v>
          </cell>
          <cell r="H269" t="str">
            <v>Asistencia</v>
          </cell>
        </row>
        <row r="270">
          <cell r="C270" t="str">
            <v>PALACIOS FLORES SEGUNDO RICARDO</v>
          </cell>
          <cell r="D270">
            <v>46163</v>
          </cell>
          <cell r="E270" t="str">
            <v>A</v>
          </cell>
          <cell r="H270" t="str">
            <v>Asistencia</v>
          </cell>
        </row>
        <row r="271">
          <cell r="C271" t="str">
            <v>PALACIOS FLORES SEGUNDO RICARDO</v>
          </cell>
          <cell r="D271">
            <v>46164</v>
          </cell>
          <cell r="E271" t="str">
            <v>A</v>
          </cell>
          <cell r="H271" t="str">
            <v>Asistencia</v>
          </cell>
        </row>
        <row r="272">
          <cell r="C272" t="str">
            <v>PALACIOS FLORES SEGUNDO RICARDO</v>
          </cell>
          <cell r="D272">
            <v>46165</v>
          </cell>
          <cell r="E272" t="str">
            <v>A</v>
          </cell>
          <cell r="H272" t="str">
            <v>Asistencia</v>
          </cell>
        </row>
        <row r="273">
          <cell r="C273" t="str">
            <v>PALACIOS FLORES SEGUNDO RICARDO</v>
          </cell>
          <cell r="D273">
            <v>46166</v>
          </cell>
          <cell r="E273" t="str">
            <v>A</v>
          </cell>
          <cell r="H273" t="str">
            <v>Asistencia</v>
          </cell>
        </row>
        <row r="274">
          <cell r="C274" t="str">
            <v>PALACIOS FLORES SEGUNDO RICARDO</v>
          </cell>
          <cell r="D274">
            <v>46167</v>
          </cell>
          <cell r="E274" t="str">
            <v>A</v>
          </cell>
          <cell r="H274" t="str">
            <v>Asistencia</v>
          </cell>
        </row>
        <row r="275">
          <cell r="C275" t="str">
            <v>PALACIOS FLORES SEGUNDO RICARDO</v>
          </cell>
          <cell r="D275">
            <v>46168</v>
          </cell>
          <cell r="E275" t="str">
            <v>A</v>
          </cell>
          <cell r="H275" t="str">
            <v>Asistencia</v>
          </cell>
        </row>
        <row r="276">
          <cell r="C276" t="str">
            <v>PALACIOS FLORES SEGUNDO RICARDO</v>
          </cell>
          <cell r="D276">
            <v>46169</v>
          </cell>
          <cell r="E276" t="str">
            <v>A</v>
          </cell>
          <cell r="H276" t="str">
            <v>Asistencia</v>
          </cell>
        </row>
        <row r="277">
          <cell r="C277" t="str">
            <v>PALACIOS FLORES SEGUNDO RICARDO</v>
          </cell>
          <cell r="D277">
            <v>46170</v>
          </cell>
          <cell r="E277" t="str">
            <v>A</v>
          </cell>
          <cell r="H277" t="str">
            <v>Asistencia</v>
          </cell>
        </row>
        <row r="278">
          <cell r="C278" t="str">
            <v>PALACIOS FLORES SEGUNDO RICARDO</v>
          </cell>
          <cell r="D278">
            <v>46171</v>
          </cell>
          <cell r="E278" t="str">
            <v>A</v>
          </cell>
          <cell r="H278" t="str">
            <v>Asistencia</v>
          </cell>
        </row>
        <row r="279">
          <cell r="C279" t="str">
            <v>PALACIOS FLORES SEGUNDO RICARDO</v>
          </cell>
          <cell r="D279">
            <v>46172</v>
          </cell>
          <cell r="E279" t="str">
            <v>A</v>
          </cell>
          <cell r="H279" t="str">
            <v>Asistencia</v>
          </cell>
        </row>
        <row r="280">
          <cell r="C280" t="str">
            <v>PALACIOS FLORES SEGUNDO RICARDO</v>
          </cell>
          <cell r="D280">
            <v>46173</v>
          </cell>
          <cell r="E280" t="str">
            <v>A</v>
          </cell>
          <cell r="H280" t="str">
            <v>Asistencia</v>
          </cell>
        </row>
        <row r="281">
          <cell r="C281" t="str">
            <v>MELGAREJO GIL JOEL JHONATAN</v>
          </cell>
          <cell r="D281">
            <v>46143</v>
          </cell>
          <cell r="E281" t="str">
            <v>B</v>
          </cell>
          <cell r="H281" t="e">
            <v>#N/A</v>
          </cell>
        </row>
        <row r="282">
          <cell r="C282" t="str">
            <v>MELGAREJO GIL JOEL JHONATAN</v>
          </cell>
          <cell r="D282">
            <v>46144</v>
          </cell>
          <cell r="E282" t="str">
            <v>B</v>
          </cell>
          <cell r="H282" t="e">
            <v>#N/A</v>
          </cell>
        </row>
        <row r="283">
          <cell r="C283" t="str">
            <v>MELGAREJO GIL JOEL JHONATAN</v>
          </cell>
          <cell r="D283">
            <v>46145</v>
          </cell>
          <cell r="E283" t="str">
            <v>B</v>
          </cell>
          <cell r="H283" t="e">
            <v>#N/A</v>
          </cell>
        </row>
        <row r="284">
          <cell r="C284" t="str">
            <v>MELGAREJO GIL JOEL JHONATAN</v>
          </cell>
          <cell r="D284">
            <v>46146</v>
          </cell>
          <cell r="E284" t="str">
            <v>B</v>
          </cell>
          <cell r="H284" t="e">
            <v>#N/A</v>
          </cell>
        </row>
        <row r="285">
          <cell r="C285" t="str">
            <v>MELGAREJO GIL JOEL JHONATAN</v>
          </cell>
          <cell r="D285">
            <v>46147</v>
          </cell>
          <cell r="E285" t="str">
            <v>B</v>
          </cell>
          <cell r="H285" t="e">
            <v>#N/A</v>
          </cell>
        </row>
        <row r="286">
          <cell r="C286" t="str">
            <v>MELGAREJO GIL JOEL JHONATAN</v>
          </cell>
          <cell r="D286">
            <v>46148</v>
          </cell>
          <cell r="E286" t="str">
            <v>B</v>
          </cell>
          <cell r="H286" t="e">
            <v>#N/A</v>
          </cell>
        </row>
        <row r="287">
          <cell r="C287" t="str">
            <v>MELGAREJO GIL JOEL JHONATAN</v>
          </cell>
          <cell r="D287">
            <v>46149</v>
          </cell>
          <cell r="E287" t="str">
            <v>B</v>
          </cell>
          <cell r="H287" t="e">
            <v>#N/A</v>
          </cell>
        </row>
        <row r="288">
          <cell r="C288" t="str">
            <v>MELGAREJO GIL JOEL JHONATAN</v>
          </cell>
          <cell r="D288">
            <v>46150</v>
          </cell>
          <cell r="E288" t="str">
            <v>B</v>
          </cell>
          <cell r="H288" t="e">
            <v>#N/A</v>
          </cell>
        </row>
        <row r="289">
          <cell r="C289" t="str">
            <v>MELGAREJO GIL JOEL JHONATAN</v>
          </cell>
          <cell r="D289">
            <v>46151</v>
          </cell>
          <cell r="E289" t="str">
            <v>B</v>
          </cell>
          <cell r="H289" t="e">
            <v>#N/A</v>
          </cell>
        </row>
        <row r="290">
          <cell r="C290" t="str">
            <v>MELGAREJO GIL JOEL JHONATAN</v>
          </cell>
          <cell r="D290">
            <v>46152</v>
          </cell>
          <cell r="E290" t="str">
            <v>B</v>
          </cell>
          <cell r="H290" t="e">
            <v>#N/A</v>
          </cell>
        </row>
        <row r="291">
          <cell r="C291" t="str">
            <v>MELGAREJO GIL JOEL JHONATAN</v>
          </cell>
          <cell r="D291">
            <v>46153</v>
          </cell>
          <cell r="E291" t="str">
            <v>B</v>
          </cell>
          <cell r="H291" t="e">
            <v>#N/A</v>
          </cell>
        </row>
        <row r="292">
          <cell r="C292" t="str">
            <v>MELGAREJO GIL JOEL JHONATAN</v>
          </cell>
          <cell r="D292">
            <v>46154</v>
          </cell>
          <cell r="E292" t="str">
            <v>B</v>
          </cell>
          <cell r="H292" t="e">
            <v>#N/A</v>
          </cell>
        </row>
        <row r="293">
          <cell r="C293" t="str">
            <v>MELGAREJO GIL JOEL JHONATAN</v>
          </cell>
          <cell r="D293">
            <v>46155</v>
          </cell>
          <cell r="E293" t="str">
            <v>B</v>
          </cell>
          <cell r="H293" t="e">
            <v>#N/A</v>
          </cell>
        </row>
        <row r="294">
          <cell r="C294" t="str">
            <v>MELGAREJO GIL JOEL JHONATAN</v>
          </cell>
          <cell r="D294">
            <v>46156</v>
          </cell>
          <cell r="E294" t="str">
            <v>B</v>
          </cell>
          <cell r="H294" t="e">
            <v>#N/A</v>
          </cell>
        </row>
        <row r="295">
          <cell r="C295" t="str">
            <v>MELGAREJO GIL JOEL JHONATAN</v>
          </cell>
          <cell r="D295">
            <v>46157</v>
          </cell>
          <cell r="E295" t="str">
            <v>B</v>
          </cell>
          <cell r="H295" t="e">
            <v>#N/A</v>
          </cell>
        </row>
        <row r="296">
          <cell r="C296" t="str">
            <v>MELGAREJO GIL JOEL JHONATAN</v>
          </cell>
          <cell r="D296">
            <v>46158</v>
          </cell>
          <cell r="E296" t="str">
            <v>B</v>
          </cell>
          <cell r="H296" t="e">
            <v>#N/A</v>
          </cell>
        </row>
        <row r="297">
          <cell r="C297" t="str">
            <v>MELGAREJO GIL JOEL JHONATAN</v>
          </cell>
          <cell r="D297">
            <v>46159</v>
          </cell>
          <cell r="E297" t="str">
            <v>B</v>
          </cell>
          <cell r="H297" t="e">
            <v>#N/A</v>
          </cell>
        </row>
        <row r="298">
          <cell r="C298" t="str">
            <v>MELGAREJO GIL JOEL JHONATAN</v>
          </cell>
          <cell r="D298">
            <v>46160</v>
          </cell>
          <cell r="E298" t="str">
            <v>B</v>
          </cell>
          <cell r="H298" t="e">
            <v>#N/A</v>
          </cell>
        </row>
        <row r="299">
          <cell r="C299" t="str">
            <v>MELGAREJO GIL JOEL JHONATAN</v>
          </cell>
          <cell r="D299">
            <v>46161</v>
          </cell>
          <cell r="E299" t="str">
            <v>B</v>
          </cell>
          <cell r="H299" t="e">
            <v>#N/A</v>
          </cell>
        </row>
        <row r="300">
          <cell r="C300" t="str">
            <v>MELGAREJO GIL JOEL JHONATAN</v>
          </cell>
          <cell r="D300">
            <v>46162</v>
          </cell>
          <cell r="E300" t="str">
            <v/>
          </cell>
          <cell r="H300" t="e">
            <v>#N/A</v>
          </cell>
        </row>
        <row r="301">
          <cell r="C301" t="str">
            <v>MELGAREJO GIL JOEL JHONATAN</v>
          </cell>
          <cell r="D301">
            <v>46163</v>
          </cell>
          <cell r="E301" t="str">
            <v/>
          </cell>
          <cell r="H301" t="e">
            <v>#N/A</v>
          </cell>
        </row>
        <row r="302">
          <cell r="C302" t="str">
            <v>MELGAREJO GIL JOEL JHONATAN</v>
          </cell>
          <cell r="D302">
            <v>46164</v>
          </cell>
          <cell r="E302" t="str">
            <v/>
          </cell>
          <cell r="H302" t="e">
            <v>#N/A</v>
          </cell>
        </row>
        <row r="303">
          <cell r="C303" t="str">
            <v>MELGAREJO GIL JOEL JHONATAN</v>
          </cell>
          <cell r="D303">
            <v>46165</v>
          </cell>
          <cell r="E303" t="str">
            <v/>
          </cell>
          <cell r="H303" t="e">
            <v>#N/A</v>
          </cell>
        </row>
        <row r="304">
          <cell r="C304" t="str">
            <v>MELGAREJO GIL JOEL JHONATAN</v>
          </cell>
          <cell r="D304">
            <v>46166</v>
          </cell>
          <cell r="E304" t="str">
            <v/>
          </cell>
          <cell r="H304" t="e">
            <v>#N/A</v>
          </cell>
        </row>
        <row r="305">
          <cell r="C305" t="str">
            <v>MELGAREJO GIL JOEL JHONATAN</v>
          </cell>
          <cell r="D305">
            <v>46167</v>
          </cell>
          <cell r="E305" t="str">
            <v/>
          </cell>
          <cell r="H305" t="e">
            <v>#N/A</v>
          </cell>
        </row>
        <row r="306">
          <cell r="C306" t="str">
            <v>MELGAREJO GIL JOEL JHONATAN</v>
          </cell>
          <cell r="D306">
            <v>46168</v>
          </cell>
          <cell r="E306" t="str">
            <v/>
          </cell>
          <cell r="H306" t="e">
            <v>#N/A</v>
          </cell>
        </row>
        <row r="307">
          <cell r="C307" t="str">
            <v>MELGAREJO GIL JOEL JHONATAN</v>
          </cell>
          <cell r="D307">
            <v>46169</v>
          </cell>
          <cell r="E307" t="str">
            <v/>
          </cell>
          <cell r="H307" t="e">
            <v>#N/A</v>
          </cell>
        </row>
        <row r="308">
          <cell r="C308" t="str">
            <v>MELGAREJO GIL JOEL JHONATAN</v>
          </cell>
          <cell r="D308">
            <v>46170</v>
          </cell>
          <cell r="E308" t="str">
            <v/>
          </cell>
          <cell r="H308" t="e">
            <v>#N/A</v>
          </cell>
        </row>
        <row r="309">
          <cell r="C309" t="str">
            <v>MELGAREJO GIL JOEL JHONATAN</v>
          </cell>
          <cell r="D309">
            <v>46171</v>
          </cell>
          <cell r="E309" t="str">
            <v/>
          </cell>
          <cell r="H309" t="e">
            <v>#N/A</v>
          </cell>
        </row>
        <row r="310">
          <cell r="C310" t="str">
            <v>MELGAREJO GIL JOEL JHONATAN</v>
          </cell>
          <cell r="D310">
            <v>46172</v>
          </cell>
          <cell r="E310" t="str">
            <v/>
          </cell>
          <cell r="H310" t="e">
            <v>#N/A</v>
          </cell>
        </row>
        <row r="311">
          <cell r="C311" t="str">
            <v>MELGAREJO GIL JOEL JHONATAN</v>
          </cell>
          <cell r="D311">
            <v>46173</v>
          </cell>
          <cell r="E311" t="str">
            <v/>
          </cell>
          <cell r="H311" t="e">
            <v>#N/A</v>
          </cell>
        </row>
        <row r="312">
          <cell r="C312" t="str">
            <v>GOLINDANO MARQUEZ JUAN CARLOS</v>
          </cell>
          <cell r="D312">
            <v>46143</v>
          </cell>
          <cell r="E312" t="str">
            <v>DNR</v>
          </cell>
          <cell r="H312" t="str">
            <v>No Remunerado</v>
          </cell>
        </row>
        <row r="313">
          <cell r="C313" t="str">
            <v>GOLINDANO MARQUEZ JUAN CARLOS</v>
          </cell>
          <cell r="D313">
            <v>46144</v>
          </cell>
          <cell r="E313" t="str">
            <v>DR</v>
          </cell>
          <cell r="H313" t="str">
            <v>D. Remunerado</v>
          </cell>
        </row>
        <row r="314">
          <cell r="C314" t="str">
            <v>GOLINDANO MARQUEZ JUAN CARLOS</v>
          </cell>
          <cell r="D314">
            <v>46145</v>
          </cell>
          <cell r="E314" t="str">
            <v>DR</v>
          </cell>
          <cell r="H314" t="str">
            <v>D. Remunerado</v>
          </cell>
        </row>
        <row r="315">
          <cell r="C315" t="str">
            <v>GOLINDANO MARQUEZ JUAN CARLOS</v>
          </cell>
          <cell r="D315">
            <v>46146</v>
          </cell>
          <cell r="E315" t="str">
            <v>DR</v>
          </cell>
          <cell r="H315" t="str">
            <v>D. Remunerado</v>
          </cell>
        </row>
        <row r="316">
          <cell r="C316" t="str">
            <v>GOLINDANO MARQUEZ JUAN CARLOS</v>
          </cell>
          <cell r="D316">
            <v>46147</v>
          </cell>
          <cell r="E316" t="str">
            <v>A</v>
          </cell>
          <cell r="H316" t="str">
            <v>Asistencia</v>
          </cell>
        </row>
        <row r="317">
          <cell r="C317" t="str">
            <v>GOLINDANO MARQUEZ JUAN CARLOS</v>
          </cell>
          <cell r="D317">
            <v>46148</v>
          </cell>
          <cell r="E317" t="str">
            <v>A</v>
          </cell>
          <cell r="H317" t="str">
            <v>Asistencia</v>
          </cell>
        </row>
        <row r="318">
          <cell r="C318" t="str">
            <v>GOLINDANO MARQUEZ JUAN CARLOS</v>
          </cell>
          <cell r="D318">
            <v>46149</v>
          </cell>
          <cell r="E318" t="str">
            <v>A</v>
          </cell>
          <cell r="H318" t="str">
            <v>Asistencia</v>
          </cell>
        </row>
        <row r="319">
          <cell r="C319" t="str">
            <v>GOLINDANO MARQUEZ JUAN CARLOS</v>
          </cell>
          <cell r="D319">
            <v>46150</v>
          </cell>
          <cell r="E319" t="str">
            <v>A</v>
          </cell>
          <cell r="H319" t="str">
            <v>Asistencia</v>
          </cell>
        </row>
        <row r="320">
          <cell r="C320" t="str">
            <v>GOLINDANO MARQUEZ JUAN CARLOS</v>
          </cell>
          <cell r="D320">
            <v>46151</v>
          </cell>
          <cell r="E320" t="str">
            <v>A</v>
          </cell>
          <cell r="H320" t="str">
            <v>Asistencia</v>
          </cell>
        </row>
        <row r="321">
          <cell r="C321" t="str">
            <v>GOLINDANO MARQUEZ JUAN CARLOS</v>
          </cell>
          <cell r="D321">
            <v>46152</v>
          </cell>
          <cell r="E321" t="str">
            <v>DNR</v>
          </cell>
          <cell r="H321" t="str">
            <v>No Remunerado</v>
          </cell>
        </row>
        <row r="322">
          <cell r="C322" t="str">
            <v>GOLINDANO MARQUEZ JUAN CARLOS</v>
          </cell>
          <cell r="D322">
            <v>46153</v>
          </cell>
          <cell r="E322" t="str">
            <v>DR</v>
          </cell>
          <cell r="H322" t="str">
            <v>D. Remunerado</v>
          </cell>
        </row>
        <row r="323">
          <cell r="C323" t="str">
            <v>GOLINDANO MARQUEZ JUAN CARLOS</v>
          </cell>
          <cell r="D323">
            <v>46154</v>
          </cell>
          <cell r="E323" t="str">
            <v>DNR</v>
          </cell>
          <cell r="H323" t="str">
            <v>No Remunerado</v>
          </cell>
        </row>
        <row r="324">
          <cell r="C324" t="str">
            <v>GOLINDANO MARQUEZ JUAN CARLOS</v>
          </cell>
          <cell r="D324">
            <v>46155</v>
          </cell>
          <cell r="E324" t="str">
            <v>DNR</v>
          </cell>
          <cell r="H324" t="str">
            <v>No Remunerado</v>
          </cell>
        </row>
        <row r="325">
          <cell r="C325" t="str">
            <v>GOLINDANO MARQUEZ JUAN CARLOS</v>
          </cell>
          <cell r="D325">
            <v>46156</v>
          </cell>
          <cell r="E325" t="str">
            <v>A</v>
          </cell>
          <cell r="H325" t="str">
            <v>Asistencia</v>
          </cell>
        </row>
        <row r="326">
          <cell r="C326" t="str">
            <v>GOLINDANO MARQUEZ JUAN CARLOS</v>
          </cell>
          <cell r="D326">
            <v>46157</v>
          </cell>
          <cell r="E326" t="str">
            <v>A</v>
          </cell>
          <cell r="H326" t="str">
            <v>Asistencia</v>
          </cell>
        </row>
        <row r="327">
          <cell r="C327" t="str">
            <v>GOLINDANO MARQUEZ JUAN CARLOS</v>
          </cell>
          <cell r="D327">
            <v>46158</v>
          </cell>
          <cell r="E327" t="str">
            <v>A</v>
          </cell>
          <cell r="H327" t="str">
            <v>Asistencia</v>
          </cell>
        </row>
        <row r="328">
          <cell r="C328" t="str">
            <v>GOLINDANO MARQUEZ JUAN CARLOS</v>
          </cell>
          <cell r="D328">
            <v>46159</v>
          </cell>
          <cell r="E328" t="str">
            <v>A</v>
          </cell>
          <cell r="H328" t="str">
            <v>Asistencia</v>
          </cell>
        </row>
        <row r="329">
          <cell r="C329" t="str">
            <v>GOLINDANO MARQUEZ JUAN CARLOS</v>
          </cell>
          <cell r="D329">
            <v>46160</v>
          </cell>
          <cell r="E329" t="str">
            <v>A</v>
          </cell>
          <cell r="H329" t="str">
            <v>Asistencia</v>
          </cell>
        </row>
        <row r="330">
          <cell r="C330" t="str">
            <v>GOLINDANO MARQUEZ JUAN CARLOS</v>
          </cell>
          <cell r="D330">
            <v>46161</v>
          </cell>
          <cell r="E330" t="str">
            <v>A</v>
          </cell>
          <cell r="H330" t="str">
            <v>Asistencia</v>
          </cell>
        </row>
        <row r="331">
          <cell r="C331" t="str">
            <v>GOLINDANO MARQUEZ JUAN CARLOS</v>
          </cell>
          <cell r="D331">
            <v>46162</v>
          </cell>
          <cell r="E331" t="str">
            <v>A</v>
          </cell>
          <cell r="H331" t="str">
            <v>Asistencia</v>
          </cell>
        </row>
        <row r="332">
          <cell r="C332" t="str">
            <v>GOLINDANO MARQUEZ JUAN CARLOS</v>
          </cell>
          <cell r="D332">
            <v>46163</v>
          </cell>
          <cell r="E332" t="str">
            <v>A</v>
          </cell>
          <cell r="H332" t="str">
            <v>Asistencia</v>
          </cell>
        </row>
        <row r="333">
          <cell r="C333" t="str">
            <v>GOLINDANO MARQUEZ JUAN CARLOS</v>
          </cell>
          <cell r="D333">
            <v>46164</v>
          </cell>
          <cell r="E333" t="str">
            <v>A</v>
          </cell>
          <cell r="H333" t="str">
            <v>Asistencia</v>
          </cell>
        </row>
        <row r="334">
          <cell r="C334" t="str">
            <v>GOLINDANO MARQUEZ JUAN CARLOS</v>
          </cell>
          <cell r="D334">
            <v>46165</v>
          </cell>
          <cell r="E334" t="str">
            <v>A</v>
          </cell>
          <cell r="H334" t="str">
            <v>Asistencia</v>
          </cell>
        </row>
        <row r="335">
          <cell r="C335" t="str">
            <v>GOLINDANO MARQUEZ JUAN CARLOS</v>
          </cell>
          <cell r="D335">
            <v>46166</v>
          </cell>
          <cell r="E335" t="str">
            <v>A</v>
          </cell>
          <cell r="H335" t="str">
            <v>Asistencia</v>
          </cell>
        </row>
        <row r="336">
          <cell r="C336" t="str">
            <v>GOLINDANO MARQUEZ JUAN CARLOS</v>
          </cell>
          <cell r="D336">
            <v>46167</v>
          </cell>
          <cell r="E336" t="str">
            <v>A</v>
          </cell>
          <cell r="H336" t="str">
            <v>Asistencia</v>
          </cell>
        </row>
        <row r="337">
          <cell r="C337" t="str">
            <v>GOLINDANO MARQUEZ JUAN CARLOS</v>
          </cell>
          <cell r="D337">
            <v>46168</v>
          </cell>
          <cell r="E337" t="str">
            <v>A</v>
          </cell>
          <cell r="H337" t="str">
            <v>Asistencia</v>
          </cell>
        </row>
        <row r="338">
          <cell r="C338" t="str">
            <v>GOLINDANO MARQUEZ JUAN CARLOS</v>
          </cell>
          <cell r="D338">
            <v>46169</v>
          </cell>
          <cell r="E338" t="str">
            <v>A</v>
          </cell>
          <cell r="H338" t="str">
            <v>Asistencia</v>
          </cell>
        </row>
        <row r="339">
          <cell r="C339" t="str">
            <v>GOLINDANO MARQUEZ JUAN CARLOS</v>
          </cell>
          <cell r="D339">
            <v>46170</v>
          </cell>
          <cell r="E339" t="str">
            <v>A</v>
          </cell>
          <cell r="H339" t="str">
            <v>Asistencia</v>
          </cell>
        </row>
        <row r="340">
          <cell r="C340" t="str">
            <v>GOLINDANO MARQUEZ JUAN CARLOS</v>
          </cell>
          <cell r="D340">
            <v>46171</v>
          </cell>
          <cell r="E340" t="str">
            <v>A</v>
          </cell>
          <cell r="H340" t="str">
            <v>Asistencia</v>
          </cell>
        </row>
        <row r="341">
          <cell r="C341" t="str">
            <v>GOLINDANO MARQUEZ JUAN CARLOS</v>
          </cell>
          <cell r="D341">
            <v>46172</v>
          </cell>
          <cell r="E341" t="str">
            <v>A</v>
          </cell>
          <cell r="H341" t="str">
            <v>Asistencia</v>
          </cell>
        </row>
        <row r="342">
          <cell r="C342" t="str">
            <v>GOLINDANO MARQUEZ JUAN CARLOS</v>
          </cell>
          <cell r="D342">
            <v>46173</v>
          </cell>
          <cell r="E342" t="str">
            <v>N/A</v>
          </cell>
          <cell r="H342" t="str">
            <v>No Remunerado</v>
          </cell>
        </row>
        <row r="343">
          <cell r="C343" t="str">
            <v>LEZAMA MEDINA MICHAEL ALEXANDER</v>
          </cell>
          <cell r="D343">
            <v>46143</v>
          </cell>
          <cell r="E343" t="str">
            <v>B</v>
          </cell>
          <cell r="H343" t="e">
            <v>#N/A</v>
          </cell>
        </row>
        <row r="344">
          <cell r="C344" t="str">
            <v>LEZAMA MEDINA MICHAEL ALEXANDER</v>
          </cell>
          <cell r="D344">
            <v>46144</v>
          </cell>
          <cell r="E344" t="str">
            <v>B</v>
          </cell>
          <cell r="H344" t="e">
            <v>#N/A</v>
          </cell>
        </row>
        <row r="345">
          <cell r="C345" t="str">
            <v>LEZAMA MEDINA MICHAEL ALEXANDER</v>
          </cell>
          <cell r="D345">
            <v>46145</v>
          </cell>
          <cell r="E345" t="str">
            <v>B</v>
          </cell>
          <cell r="H345" t="e">
            <v>#N/A</v>
          </cell>
        </row>
        <row r="346">
          <cell r="C346" t="str">
            <v>LEZAMA MEDINA MICHAEL ALEXANDER</v>
          </cell>
          <cell r="D346">
            <v>46146</v>
          </cell>
          <cell r="E346" t="str">
            <v>B</v>
          </cell>
          <cell r="H346" t="e">
            <v>#N/A</v>
          </cell>
        </row>
        <row r="347">
          <cell r="C347" t="str">
            <v>LEZAMA MEDINA MICHAEL ALEXANDER</v>
          </cell>
          <cell r="D347">
            <v>46147</v>
          </cell>
          <cell r="E347" t="str">
            <v>B</v>
          </cell>
          <cell r="H347" t="e">
            <v>#N/A</v>
          </cell>
        </row>
        <row r="348">
          <cell r="C348" t="str">
            <v>LEZAMA MEDINA MICHAEL ALEXANDER</v>
          </cell>
          <cell r="D348">
            <v>46148</v>
          </cell>
          <cell r="E348" t="str">
            <v>B</v>
          </cell>
          <cell r="H348" t="e">
            <v>#N/A</v>
          </cell>
        </row>
        <row r="349">
          <cell r="C349" t="str">
            <v>LEZAMA MEDINA MICHAEL ALEXANDER</v>
          </cell>
          <cell r="D349">
            <v>46149</v>
          </cell>
          <cell r="E349" t="str">
            <v>B</v>
          </cell>
          <cell r="H349" t="e">
            <v>#N/A</v>
          </cell>
        </row>
        <row r="350">
          <cell r="C350" t="str">
            <v>LEZAMA MEDINA MICHAEL ALEXANDER</v>
          </cell>
          <cell r="D350">
            <v>46150</v>
          </cell>
          <cell r="E350" t="str">
            <v>B</v>
          </cell>
          <cell r="H350" t="e">
            <v>#N/A</v>
          </cell>
        </row>
        <row r="351">
          <cell r="C351" t="str">
            <v>LEZAMA MEDINA MICHAEL ALEXANDER</v>
          </cell>
          <cell r="D351">
            <v>46151</v>
          </cell>
          <cell r="E351" t="str">
            <v>B</v>
          </cell>
          <cell r="H351" t="e">
            <v>#N/A</v>
          </cell>
        </row>
        <row r="352">
          <cell r="C352" t="str">
            <v>LEZAMA MEDINA MICHAEL ALEXANDER</v>
          </cell>
          <cell r="D352">
            <v>46152</v>
          </cell>
          <cell r="E352" t="str">
            <v>B</v>
          </cell>
          <cell r="H352" t="e">
            <v>#N/A</v>
          </cell>
        </row>
        <row r="353">
          <cell r="C353" t="str">
            <v>LEZAMA MEDINA MICHAEL ALEXANDER</v>
          </cell>
          <cell r="D353">
            <v>46153</v>
          </cell>
          <cell r="E353" t="str">
            <v>B</v>
          </cell>
          <cell r="H353" t="e">
            <v>#N/A</v>
          </cell>
        </row>
        <row r="354">
          <cell r="C354" t="str">
            <v>LEZAMA MEDINA MICHAEL ALEXANDER</v>
          </cell>
          <cell r="D354">
            <v>46154</v>
          </cell>
          <cell r="E354" t="str">
            <v>B</v>
          </cell>
          <cell r="H354" t="e">
            <v>#N/A</v>
          </cell>
        </row>
        <row r="355">
          <cell r="C355" t="str">
            <v>LEZAMA MEDINA MICHAEL ALEXANDER</v>
          </cell>
          <cell r="D355">
            <v>46155</v>
          </cell>
          <cell r="E355" t="str">
            <v>B</v>
          </cell>
          <cell r="H355" t="e">
            <v>#N/A</v>
          </cell>
        </row>
        <row r="356">
          <cell r="C356" t="str">
            <v>LEZAMA MEDINA MICHAEL ALEXANDER</v>
          </cell>
          <cell r="D356">
            <v>46156</v>
          </cell>
          <cell r="E356" t="str">
            <v>B</v>
          </cell>
          <cell r="H356" t="e">
            <v>#N/A</v>
          </cell>
        </row>
        <row r="357">
          <cell r="C357" t="str">
            <v>LEZAMA MEDINA MICHAEL ALEXANDER</v>
          </cell>
          <cell r="D357">
            <v>46157</v>
          </cell>
          <cell r="E357" t="str">
            <v>B</v>
          </cell>
          <cell r="H357" t="e">
            <v>#N/A</v>
          </cell>
        </row>
        <row r="358">
          <cell r="C358" t="str">
            <v>LEZAMA MEDINA MICHAEL ALEXANDER</v>
          </cell>
          <cell r="D358">
            <v>46158</v>
          </cell>
          <cell r="E358" t="str">
            <v>B</v>
          </cell>
          <cell r="H358" t="e">
            <v>#N/A</v>
          </cell>
        </row>
        <row r="359">
          <cell r="C359" t="str">
            <v>LEZAMA MEDINA MICHAEL ALEXANDER</v>
          </cell>
          <cell r="D359">
            <v>46159</v>
          </cell>
          <cell r="E359" t="str">
            <v>B</v>
          </cell>
          <cell r="H359" t="e">
            <v>#N/A</v>
          </cell>
        </row>
        <row r="360">
          <cell r="C360" t="str">
            <v>LEZAMA MEDINA MICHAEL ALEXANDER</v>
          </cell>
          <cell r="D360">
            <v>46160</v>
          </cell>
          <cell r="E360" t="str">
            <v>B</v>
          </cell>
          <cell r="H360" t="e">
            <v>#N/A</v>
          </cell>
        </row>
        <row r="361">
          <cell r="C361" t="str">
            <v>LEZAMA MEDINA MICHAEL ALEXANDER</v>
          </cell>
          <cell r="D361">
            <v>46161</v>
          </cell>
          <cell r="E361" t="str">
            <v>B</v>
          </cell>
          <cell r="H361" t="e">
            <v>#N/A</v>
          </cell>
        </row>
        <row r="362">
          <cell r="C362" t="str">
            <v>LEZAMA MEDINA MICHAEL ALEXANDER</v>
          </cell>
          <cell r="D362">
            <v>46162</v>
          </cell>
          <cell r="E362" t="str">
            <v/>
          </cell>
          <cell r="H362" t="e">
            <v>#N/A</v>
          </cell>
        </row>
        <row r="363">
          <cell r="C363" t="str">
            <v>LEZAMA MEDINA MICHAEL ALEXANDER</v>
          </cell>
          <cell r="D363">
            <v>46163</v>
          </cell>
          <cell r="E363" t="str">
            <v/>
          </cell>
          <cell r="H363" t="e">
            <v>#N/A</v>
          </cell>
        </row>
        <row r="364">
          <cell r="C364" t="str">
            <v>LEZAMA MEDINA MICHAEL ALEXANDER</v>
          </cell>
          <cell r="D364">
            <v>46164</v>
          </cell>
          <cell r="E364" t="str">
            <v/>
          </cell>
          <cell r="H364" t="e">
            <v>#N/A</v>
          </cell>
        </row>
        <row r="365">
          <cell r="C365" t="str">
            <v>LEZAMA MEDINA MICHAEL ALEXANDER</v>
          </cell>
          <cell r="D365">
            <v>46165</v>
          </cell>
          <cell r="E365" t="str">
            <v/>
          </cell>
          <cell r="H365" t="e">
            <v>#N/A</v>
          </cell>
        </row>
        <row r="366">
          <cell r="C366" t="str">
            <v>LEZAMA MEDINA MICHAEL ALEXANDER</v>
          </cell>
          <cell r="D366">
            <v>46166</v>
          </cell>
          <cell r="E366" t="str">
            <v/>
          </cell>
          <cell r="H366" t="e">
            <v>#N/A</v>
          </cell>
        </row>
        <row r="367">
          <cell r="C367" t="str">
            <v>LEZAMA MEDINA MICHAEL ALEXANDER</v>
          </cell>
          <cell r="D367">
            <v>46167</v>
          </cell>
          <cell r="E367" t="str">
            <v/>
          </cell>
          <cell r="H367" t="e">
            <v>#N/A</v>
          </cell>
        </row>
        <row r="368">
          <cell r="C368" t="str">
            <v>LEZAMA MEDINA MICHAEL ALEXANDER</v>
          </cell>
          <cell r="D368">
            <v>46168</v>
          </cell>
          <cell r="E368" t="str">
            <v/>
          </cell>
          <cell r="H368" t="e">
            <v>#N/A</v>
          </cell>
        </row>
        <row r="369">
          <cell r="C369" t="str">
            <v>LEZAMA MEDINA MICHAEL ALEXANDER</v>
          </cell>
          <cell r="D369">
            <v>46169</v>
          </cell>
          <cell r="E369" t="str">
            <v/>
          </cell>
          <cell r="H369" t="e">
            <v>#N/A</v>
          </cell>
        </row>
        <row r="370">
          <cell r="C370" t="str">
            <v>LEZAMA MEDINA MICHAEL ALEXANDER</v>
          </cell>
          <cell r="D370">
            <v>46170</v>
          </cell>
          <cell r="E370" t="str">
            <v/>
          </cell>
          <cell r="H370" t="e">
            <v>#N/A</v>
          </cell>
        </row>
        <row r="371">
          <cell r="C371" t="str">
            <v>LEZAMA MEDINA MICHAEL ALEXANDER</v>
          </cell>
          <cell r="D371">
            <v>46171</v>
          </cell>
          <cell r="E371" t="str">
            <v/>
          </cell>
          <cell r="H371" t="e">
            <v>#N/A</v>
          </cell>
        </row>
        <row r="372">
          <cell r="C372" t="str">
            <v>LEZAMA MEDINA MICHAEL ALEXANDER</v>
          </cell>
          <cell r="D372">
            <v>46172</v>
          </cell>
          <cell r="E372" t="str">
            <v/>
          </cell>
          <cell r="H372" t="e">
            <v>#N/A</v>
          </cell>
        </row>
        <row r="373">
          <cell r="C373" t="str">
            <v>LEZAMA MEDINA MICHAEL ALEXANDER</v>
          </cell>
          <cell r="D373">
            <v>46173</v>
          </cell>
          <cell r="E373" t="str">
            <v/>
          </cell>
          <cell r="H373" t="e">
            <v>#N/A</v>
          </cell>
        </row>
        <row r="374">
          <cell r="C374" t="str">
            <v>GUAYAN VILLANUEVA PEDRO ALEXANDER</v>
          </cell>
          <cell r="D374">
            <v>46143</v>
          </cell>
          <cell r="E374" t="str">
            <v>B</v>
          </cell>
          <cell r="H374" t="e">
            <v>#N/A</v>
          </cell>
        </row>
        <row r="375">
          <cell r="C375" t="str">
            <v>GUAYAN VILLANUEVA PEDRO ALEXANDER</v>
          </cell>
          <cell r="D375">
            <v>46144</v>
          </cell>
          <cell r="E375" t="str">
            <v>B</v>
          </cell>
          <cell r="H375" t="e">
            <v>#N/A</v>
          </cell>
        </row>
        <row r="376">
          <cell r="C376" t="str">
            <v>GUAYAN VILLANUEVA PEDRO ALEXANDER</v>
          </cell>
          <cell r="D376">
            <v>46145</v>
          </cell>
          <cell r="E376" t="str">
            <v>B</v>
          </cell>
          <cell r="H376" t="e">
            <v>#N/A</v>
          </cell>
        </row>
        <row r="377">
          <cell r="C377" t="str">
            <v>GUAYAN VILLANUEVA PEDRO ALEXANDER</v>
          </cell>
          <cell r="D377">
            <v>46146</v>
          </cell>
          <cell r="E377" t="str">
            <v>B</v>
          </cell>
          <cell r="H377" t="e">
            <v>#N/A</v>
          </cell>
        </row>
        <row r="378">
          <cell r="C378" t="str">
            <v>GUAYAN VILLANUEVA PEDRO ALEXANDER</v>
          </cell>
          <cell r="D378">
            <v>46147</v>
          </cell>
          <cell r="E378" t="str">
            <v>B</v>
          </cell>
          <cell r="H378" t="e">
            <v>#N/A</v>
          </cell>
        </row>
        <row r="379">
          <cell r="C379" t="str">
            <v>GUAYAN VILLANUEVA PEDRO ALEXANDER</v>
          </cell>
          <cell r="D379">
            <v>46148</v>
          </cell>
          <cell r="E379" t="str">
            <v>B</v>
          </cell>
          <cell r="H379" t="e">
            <v>#N/A</v>
          </cell>
        </row>
        <row r="380">
          <cell r="C380" t="str">
            <v>GUAYAN VILLANUEVA PEDRO ALEXANDER</v>
          </cell>
          <cell r="D380">
            <v>46149</v>
          </cell>
          <cell r="E380" t="str">
            <v>B</v>
          </cell>
          <cell r="H380" t="e">
            <v>#N/A</v>
          </cell>
        </row>
        <row r="381">
          <cell r="C381" t="str">
            <v>GUAYAN VILLANUEVA PEDRO ALEXANDER</v>
          </cell>
          <cell r="D381">
            <v>46150</v>
          </cell>
          <cell r="E381" t="str">
            <v>B</v>
          </cell>
          <cell r="H381" t="e">
            <v>#N/A</v>
          </cell>
        </row>
        <row r="382">
          <cell r="C382" t="str">
            <v>GUAYAN VILLANUEVA PEDRO ALEXANDER</v>
          </cell>
          <cell r="D382">
            <v>46151</v>
          </cell>
          <cell r="E382" t="str">
            <v>B</v>
          </cell>
          <cell r="H382" t="e">
            <v>#N/A</v>
          </cell>
        </row>
        <row r="383">
          <cell r="C383" t="str">
            <v>GUAYAN VILLANUEVA PEDRO ALEXANDER</v>
          </cell>
          <cell r="D383">
            <v>46152</v>
          </cell>
          <cell r="E383" t="str">
            <v>B</v>
          </cell>
          <cell r="H383" t="e">
            <v>#N/A</v>
          </cell>
        </row>
        <row r="384">
          <cell r="C384" t="str">
            <v>GUAYAN VILLANUEVA PEDRO ALEXANDER</v>
          </cell>
          <cell r="D384">
            <v>46153</v>
          </cell>
          <cell r="E384" t="str">
            <v>B</v>
          </cell>
          <cell r="H384" t="e">
            <v>#N/A</v>
          </cell>
        </row>
        <row r="385">
          <cell r="C385" t="str">
            <v>GUAYAN VILLANUEVA PEDRO ALEXANDER</v>
          </cell>
          <cell r="D385">
            <v>46154</v>
          </cell>
          <cell r="E385" t="str">
            <v>B</v>
          </cell>
          <cell r="H385" t="e">
            <v>#N/A</v>
          </cell>
        </row>
        <row r="386">
          <cell r="C386" t="str">
            <v>GUAYAN VILLANUEVA PEDRO ALEXANDER</v>
          </cell>
          <cell r="D386">
            <v>46155</v>
          </cell>
          <cell r="E386" t="str">
            <v>B</v>
          </cell>
          <cell r="H386" t="e">
            <v>#N/A</v>
          </cell>
        </row>
        <row r="387">
          <cell r="C387" t="str">
            <v>GUAYAN VILLANUEVA PEDRO ALEXANDER</v>
          </cell>
          <cell r="D387">
            <v>46156</v>
          </cell>
          <cell r="E387" t="str">
            <v>B</v>
          </cell>
          <cell r="H387" t="e">
            <v>#N/A</v>
          </cell>
        </row>
        <row r="388">
          <cell r="C388" t="str">
            <v>GUAYAN VILLANUEVA PEDRO ALEXANDER</v>
          </cell>
          <cell r="D388">
            <v>46157</v>
          </cell>
          <cell r="E388" t="str">
            <v>B</v>
          </cell>
          <cell r="H388" t="e">
            <v>#N/A</v>
          </cell>
        </row>
        <row r="389">
          <cell r="C389" t="str">
            <v>GUAYAN VILLANUEVA PEDRO ALEXANDER</v>
          </cell>
          <cell r="D389">
            <v>46158</v>
          </cell>
          <cell r="E389" t="str">
            <v>B</v>
          </cell>
          <cell r="H389" t="e">
            <v>#N/A</v>
          </cell>
        </row>
        <row r="390">
          <cell r="C390" t="str">
            <v>GUAYAN VILLANUEVA PEDRO ALEXANDER</v>
          </cell>
          <cell r="D390">
            <v>46159</v>
          </cell>
          <cell r="E390" t="str">
            <v>B</v>
          </cell>
          <cell r="H390" t="e">
            <v>#N/A</v>
          </cell>
        </row>
        <row r="391">
          <cell r="C391" t="str">
            <v>GUAYAN VILLANUEVA PEDRO ALEXANDER</v>
          </cell>
          <cell r="D391">
            <v>46160</v>
          </cell>
          <cell r="E391" t="str">
            <v>B</v>
          </cell>
          <cell r="H391" t="e">
            <v>#N/A</v>
          </cell>
        </row>
        <row r="392">
          <cell r="C392" t="str">
            <v>GUAYAN VILLANUEVA PEDRO ALEXANDER</v>
          </cell>
          <cell r="D392">
            <v>46161</v>
          </cell>
          <cell r="E392" t="str">
            <v>B</v>
          </cell>
          <cell r="H392" t="e">
            <v>#N/A</v>
          </cell>
        </row>
        <row r="393">
          <cell r="C393" t="str">
            <v>GUAYAN VILLANUEVA PEDRO ALEXANDER</v>
          </cell>
          <cell r="D393">
            <v>46162</v>
          </cell>
          <cell r="E393" t="str">
            <v/>
          </cell>
          <cell r="H393" t="e">
            <v>#N/A</v>
          </cell>
        </row>
        <row r="394">
          <cell r="C394" t="str">
            <v>GUAYAN VILLANUEVA PEDRO ALEXANDER</v>
          </cell>
          <cell r="D394">
            <v>46163</v>
          </cell>
          <cell r="E394" t="str">
            <v/>
          </cell>
          <cell r="H394" t="e">
            <v>#N/A</v>
          </cell>
        </row>
        <row r="395">
          <cell r="C395" t="str">
            <v>GUAYAN VILLANUEVA PEDRO ALEXANDER</v>
          </cell>
          <cell r="D395">
            <v>46164</v>
          </cell>
          <cell r="E395" t="str">
            <v/>
          </cell>
          <cell r="H395" t="e">
            <v>#N/A</v>
          </cell>
        </row>
        <row r="396">
          <cell r="C396" t="str">
            <v>GUAYAN VILLANUEVA PEDRO ALEXANDER</v>
          </cell>
          <cell r="D396">
            <v>46165</v>
          </cell>
          <cell r="E396" t="str">
            <v/>
          </cell>
          <cell r="H396" t="e">
            <v>#N/A</v>
          </cell>
        </row>
        <row r="397">
          <cell r="C397" t="str">
            <v>GUAYAN VILLANUEVA PEDRO ALEXANDER</v>
          </cell>
          <cell r="D397">
            <v>46166</v>
          </cell>
          <cell r="E397" t="str">
            <v/>
          </cell>
          <cell r="H397" t="e">
            <v>#N/A</v>
          </cell>
        </row>
        <row r="398">
          <cell r="C398" t="str">
            <v>GUAYAN VILLANUEVA PEDRO ALEXANDER</v>
          </cell>
          <cell r="D398">
            <v>46167</v>
          </cell>
          <cell r="E398" t="str">
            <v/>
          </cell>
          <cell r="H398" t="e">
            <v>#N/A</v>
          </cell>
        </row>
        <row r="399">
          <cell r="C399" t="str">
            <v>GUAYAN VILLANUEVA PEDRO ALEXANDER</v>
          </cell>
          <cell r="D399">
            <v>46168</v>
          </cell>
          <cell r="E399" t="str">
            <v/>
          </cell>
          <cell r="H399" t="e">
            <v>#N/A</v>
          </cell>
        </row>
        <row r="400">
          <cell r="C400" t="str">
            <v>GUAYAN VILLANUEVA PEDRO ALEXANDER</v>
          </cell>
          <cell r="D400">
            <v>46169</v>
          </cell>
          <cell r="E400" t="str">
            <v/>
          </cell>
          <cell r="H400" t="e">
            <v>#N/A</v>
          </cell>
        </row>
        <row r="401">
          <cell r="C401" t="str">
            <v>GUAYAN VILLANUEVA PEDRO ALEXANDER</v>
          </cell>
          <cell r="D401">
            <v>46170</v>
          </cell>
          <cell r="E401" t="str">
            <v/>
          </cell>
          <cell r="H401" t="e">
            <v>#N/A</v>
          </cell>
        </row>
        <row r="402">
          <cell r="C402" t="str">
            <v>GUAYAN VILLANUEVA PEDRO ALEXANDER</v>
          </cell>
          <cell r="D402">
            <v>46171</v>
          </cell>
          <cell r="E402" t="str">
            <v/>
          </cell>
          <cell r="H402" t="e">
            <v>#N/A</v>
          </cell>
        </row>
        <row r="403">
          <cell r="C403" t="str">
            <v>GUAYAN VILLANUEVA PEDRO ALEXANDER</v>
          </cell>
          <cell r="D403">
            <v>46172</v>
          </cell>
          <cell r="E403" t="str">
            <v/>
          </cell>
          <cell r="H403" t="e">
            <v>#N/A</v>
          </cell>
        </row>
        <row r="404">
          <cell r="C404" t="str">
            <v>GUAYAN VILLANUEVA PEDRO ALEXANDER</v>
          </cell>
          <cell r="D404">
            <v>46173</v>
          </cell>
          <cell r="E404" t="str">
            <v/>
          </cell>
          <cell r="H404" t="e">
            <v>#N/A</v>
          </cell>
        </row>
        <row r="405">
          <cell r="C405" t="str">
            <v>CURO PAZ FELIPE</v>
          </cell>
          <cell r="D405">
            <v>46143</v>
          </cell>
          <cell r="E405" t="str">
            <v>A</v>
          </cell>
          <cell r="H405" t="str">
            <v>Asistencia</v>
          </cell>
        </row>
        <row r="406">
          <cell r="C406" t="str">
            <v>CURO PAZ FELIPE</v>
          </cell>
          <cell r="D406">
            <v>46144</v>
          </cell>
          <cell r="E406" t="str">
            <v>A</v>
          </cell>
          <cell r="H406" t="str">
            <v>Asistencia</v>
          </cell>
        </row>
        <row r="407">
          <cell r="C407" t="str">
            <v>CURO PAZ FELIPE</v>
          </cell>
          <cell r="D407">
            <v>46145</v>
          </cell>
          <cell r="E407" t="str">
            <v>A</v>
          </cell>
          <cell r="H407" t="str">
            <v>Asistencia</v>
          </cell>
        </row>
        <row r="408">
          <cell r="C408" t="str">
            <v>CURO PAZ FELIPE</v>
          </cell>
          <cell r="D408">
            <v>46146</v>
          </cell>
          <cell r="E408" t="str">
            <v>DR</v>
          </cell>
          <cell r="H408" t="str">
            <v>D. Remunerado</v>
          </cell>
        </row>
        <row r="409">
          <cell r="C409" t="str">
            <v>CURO PAZ FELIPE</v>
          </cell>
          <cell r="D409">
            <v>46147</v>
          </cell>
          <cell r="E409" t="str">
            <v>A</v>
          </cell>
          <cell r="H409" t="str">
            <v>Asistencia</v>
          </cell>
        </row>
        <row r="410">
          <cell r="C410" t="str">
            <v>CURO PAZ FELIPE</v>
          </cell>
          <cell r="D410">
            <v>46148</v>
          </cell>
          <cell r="E410" t="str">
            <v>A</v>
          </cell>
          <cell r="H410" t="str">
            <v>Asistencia</v>
          </cell>
        </row>
        <row r="411">
          <cell r="C411" t="str">
            <v>CURO PAZ FELIPE</v>
          </cell>
          <cell r="D411">
            <v>46149</v>
          </cell>
          <cell r="E411" t="str">
            <v>A</v>
          </cell>
          <cell r="H411" t="str">
            <v>Asistencia</v>
          </cell>
        </row>
        <row r="412">
          <cell r="C412" t="str">
            <v>CURO PAZ FELIPE</v>
          </cell>
          <cell r="D412">
            <v>46150</v>
          </cell>
          <cell r="E412" t="str">
            <v>A</v>
          </cell>
          <cell r="H412" t="str">
            <v>Asistencia</v>
          </cell>
        </row>
        <row r="413">
          <cell r="C413" t="str">
            <v>CURO PAZ FELIPE</v>
          </cell>
          <cell r="D413">
            <v>46151</v>
          </cell>
          <cell r="E413" t="str">
            <v>A</v>
          </cell>
          <cell r="H413" t="str">
            <v>Asistencia</v>
          </cell>
        </row>
        <row r="414">
          <cell r="C414" t="str">
            <v>CURO PAZ FELIPE</v>
          </cell>
          <cell r="D414">
            <v>46152</v>
          </cell>
          <cell r="E414" t="str">
            <v>DR</v>
          </cell>
          <cell r="H414" t="str">
            <v>D. Remunerado</v>
          </cell>
        </row>
        <row r="415">
          <cell r="C415" t="str">
            <v>CURO PAZ FELIPE</v>
          </cell>
          <cell r="D415">
            <v>46153</v>
          </cell>
          <cell r="E415" t="str">
            <v>DR</v>
          </cell>
          <cell r="H415" t="str">
            <v>D. Remunerado</v>
          </cell>
        </row>
        <row r="416">
          <cell r="C416" t="str">
            <v>CURO PAZ FELIPE</v>
          </cell>
          <cell r="D416">
            <v>46154</v>
          </cell>
          <cell r="E416" t="str">
            <v>A</v>
          </cell>
          <cell r="H416" t="str">
            <v>Asistencia</v>
          </cell>
        </row>
        <row r="417">
          <cell r="C417" t="str">
            <v>CURO PAZ FELIPE</v>
          </cell>
          <cell r="D417">
            <v>46155</v>
          </cell>
          <cell r="E417" t="str">
            <v>A</v>
          </cell>
          <cell r="H417" t="str">
            <v>Asistencia</v>
          </cell>
        </row>
        <row r="418">
          <cell r="C418" t="str">
            <v>CURO PAZ FELIPE</v>
          </cell>
          <cell r="D418">
            <v>46156</v>
          </cell>
          <cell r="E418" t="str">
            <v>A</v>
          </cell>
          <cell r="H418" t="str">
            <v>Asistencia</v>
          </cell>
        </row>
        <row r="419">
          <cell r="C419" t="str">
            <v>CURO PAZ FELIPE</v>
          </cell>
          <cell r="D419">
            <v>46157</v>
          </cell>
          <cell r="E419" t="str">
            <v>A</v>
          </cell>
          <cell r="H419" t="str">
            <v>Asistencia</v>
          </cell>
        </row>
        <row r="420">
          <cell r="C420" t="str">
            <v>CURO PAZ FELIPE</v>
          </cell>
          <cell r="D420">
            <v>46158</v>
          </cell>
          <cell r="E420" t="str">
            <v>A</v>
          </cell>
          <cell r="H420" t="str">
            <v>Asistencia</v>
          </cell>
        </row>
        <row r="421">
          <cell r="C421" t="str">
            <v>CURO PAZ FELIPE</v>
          </cell>
          <cell r="D421">
            <v>46159</v>
          </cell>
          <cell r="E421" t="str">
            <v>A</v>
          </cell>
          <cell r="H421" t="str">
            <v>Asistencia</v>
          </cell>
        </row>
        <row r="422">
          <cell r="C422" t="str">
            <v>CURO PAZ FELIPE</v>
          </cell>
          <cell r="D422">
            <v>46160</v>
          </cell>
          <cell r="E422" t="str">
            <v>A</v>
          </cell>
          <cell r="H422" t="str">
            <v>Asistencia</v>
          </cell>
        </row>
        <row r="423">
          <cell r="C423" t="str">
            <v>CURO PAZ FELIPE</v>
          </cell>
          <cell r="D423">
            <v>46161</v>
          </cell>
          <cell r="E423" t="str">
            <v>A</v>
          </cell>
          <cell r="H423" t="str">
            <v>Asistencia</v>
          </cell>
        </row>
        <row r="424">
          <cell r="C424" t="str">
            <v>CURO PAZ FELIPE</v>
          </cell>
          <cell r="D424">
            <v>46162</v>
          </cell>
          <cell r="E424" t="str">
            <v>A</v>
          </cell>
          <cell r="H424" t="str">
            <v>Asistencia</v>
          </cell>
        </row>
        <row r="425">
          <cell r="C425" t="str">
            <v>CURO PAZ FELIPE</v>
          </cell>
          <cell r="D425">
            <v>46163</v>
          </cell>
          <cell r="E425" t="str">
            <v>A</v>
          </cell>
          <cell r="H425" t="str">
            <v>Asistencia</v>
          </cell>
        </row>
        <row r="426">
          <cell r="C426" t="str">
            <v>CURO PAZ FELIPE</v>
          </cell>
          <cell r="D426">
            <v>46164</v>
          </cell>
          <cell r="E426" t="str">
            <v>A</v>
          </cell>
          <cell r="H426" t="str">
            <v>Asistencia</v>
          </cell>
        </row>
        <row r="427">
          <cell r="C427" t="str">
            <v>CURO PAZ FELIPE</v>
          </cell>
          <cell r="D427">
            <v>46165</v>
          </cell>
          <cell r="E427" t="str">
            <v>A</v>
          </cell>
          <cell r="H427" t="str">
            <v>Asistencia</v>
          </cell>
        </row>
        <row r="428">
          <cell r="C428" t="str">
            <v>CURO PAZ FELIPE</v>
          </cell>
          <cell r="D428">
            <v>46166</v>
          </cell>
          <cell r="E428" t="str">
            <v>A</v>
          </cell>
          <cell r="H428" t="str">
            <v>Asistencia</v>
          </cell>
        </row>
        <row r="429">
          <cell r="C429" t="str">
            <v>CURO PAZ FELIPE</v>
          </cell>
          <cell r="D429">
            <v>46167</v>
          </cell>
          <cell r="E429" t="str">
            <v>A</v>
          </cell>
          <cell r="H429" t="str">
            <v>Asistencia</v>
          </cell>
        </row>
        <row r="430">
          <cell r="C430" t="str">
            <v>CURO PAZ FELIPE</v>
          </cell>
          <cell r="D430">
            <v>46168</v>
          </cell>
          <cell r="E430" t="str">
            <v>A</v>
          </cell>
          <cell r="H430" t="str">
            <v>Asistencia</v>
          </cell>
        </row>
        <row r="431">
          <cell r="C431" t="str">
            <v>CURO PAZ FELIPE</v>
          </cell>
          <cell r="D431">
            <v>46169</v>
          </cell>
          <cell r="E431" t="str">
            <v>A</v>
          </cell>
          <cell r="H431" t="str">
            <v>Asistencia</v>
          </cell>
        </row>
        <row r="432">
          <cell r="C432" t="str">
            <v>CURO PAZ FELIPE</v>
          </cell>
          <cell r="D432">
            <v>46170</v>
          </cell>
          <cell r="E432" t="str">
            <v>A</v>
          </cell>
          <cell r="H432" t="str">
            <v>Asistencia</v>
          </cell>
        </row>
        <row r="433">
          <cell r="C433" t="str">
            <v>CURO PAZ FELIPE</v>
          </cell>
          <cell r="D433">
            <v>46171</v>
          </cell>
          <cell r="E433" t="str">
            <v>DR</v>
          </cell>
          <cell r="H433" t="str">
            <v>D. Remunerado</v>
          </cell>
        </row>
        <row r="434">
          <cell r="C434" t="str">
            <v>CURO PAZ FELIPE</v>
          </cell>
          <cell r="D434">
            <v>46172</v>
          </cell>
          <cell r="E434" t="str">
            <v>DR</v>
          </cell>
          <cell r="H434" t="str">
            <v>D. Remunerado</v>
          </cell>
        </row>
        <row r="435">
          <cell r="C435" t="str">
            <v>CURO PAZ FELIPE</v>
          </cell>
          <cell r="D435">
            <v>46173</v>
          </cell>
          <cell r="E435" t="str">
            <v>DR</v>
          </cell>
          <cell r="H435" t="str">
            <v>D. Remunerado</v>
          </cell>
        </row>
        <row r="436">
          <cell r="C436" t="str">
            <v>REQUELME BACON CESAR DAVID</v>
          </cell>
          <cell r="D436">
            <v>46143</v>
          </cell>
          <cell r="E436" t="str">
            <v>H</v>
          </cell>
          <cell r="H436" t="str">
            <v>Feriado</v>
          </cell>
        </row>
        <row r="437">
          <cell r="C437" t="str">
            <v>REQUELME BACON CESAR DAVID</v>
          </cell>
          <cell r="D437">
            <v>46144</v>
          </cell>
          <cell r="E437" t="str">
            <v>DR</v>
          </cell>
          <cell r="H437" t="str">
            <v>D. Remunerado</v>
          </cell>
        </row>
        <row r="438">
          <cell r="C438" t="str">
            <v>REQUELME BACON CESAR DAVID</v>
          </cell>
          <cell r="D438">
            <v>46145</v>
          </cell>
          <cell r="E438" t="str">
            <v>A</v>
          </cell>
          <cell r="H438" t="str">
            <v>Asistencia</v>
          </cell>
        </row>
        <row r="439">
          <cell r="C439" t="str">
            <v>REQUELME BACON CESAR DAVID</v>
          </cell>
          <cell r="D439">
            <v>46146</v>
          </cell>
          <cell r="E439" t="str">
            <v>A</v>
          </cell>
          <cell r="H439" t="str">
            <v>Asistencia</v>
          </cell>
        </row>
        <row r="440">
          <cell r="C440" t="str">
            <v>REQUELME BACON CESAR DAVID</v>
          </cell>
          <cell r="D440">
            <v>46147</v>
          </cell>
          <cell r="E440" t="str">
            <v>A</v>
          </cell>
          <cell r="H440" t="str">
            <v>Asistencia</v>
          </cell>
        </row>
        <row r="441">
          <cell r="C441" t="str">
            <v>REQUELME BACON CESAR DAVID</v>
          </cell>
          <cell r="D441">
            <v>46148</v>
          </cell>
          <cell r="E441" t="str">
            <v>A</v>
          </cell>
          <cell r="H441" t="str">
            <v>Asistencia</v>
          </cell>
        </row>
        <row r="442">
          <cell r="C442" t="str">
            <v>REQUELME BACON CESAR DAVID</v>
          </cell>
          <cell r="D442">
            <v>46149</v>
          </cell>
          <cell r="E442" t="str">
            <v>A</v>
          </cell>
          <cell r="H442" t="str">
            <v>Asistencia</v>
          </cell>
        </row>
        <row r="443">
          <cell r="C443" t="str">
            <v>REQUELME BACON CESAR DAVID</v>
          </cell>
          <cell r="D443">
            <v>46150</v>
          </cell>
          <cell r="E443" t="str">
            <v>A</v>
          </cell>
          <cell r="H443" t="str">
            <v>Asistencia</v>
          </cell>
        </row>
        <row r="444">
          <cell r="C444" t="str">
            <v>REQUELME BACON CESAR DAVID</v>
          </cell>
          <cell r="D444">
            <v>46151</v>
          </cell>
          <cell r="E444" t="str">
            <v>A</v>
          </cell>
          <cell r="H444" t="str">
            <v>Asistencia</v>
          </cell>
        </row>
        <row r="445">
          <cell r="C445" t="str">
            <v>REQUELME BACON CESAR DAVID</v>
          </cell>
          <cell r="D445">
            <v>46152</v>
          </cell>
          <cell r="E445" t="str">
            <v>A</v>
          </cell>
          <cell r="H445" t="str">
            <v>Asistencia</v>
          </cell>
        </row>
        <row r="446">
          <cell r="C446" t="str">
            <v>REQUELME BACON CESAR DAVID</v>
          </cell>
          <cell r="D446">
            <v>46153</v>
          </cell>
          <cell r="E446" t="str">
            <v>A</v>
          </cell>
          <cell r="H446" t="str">
            <v>Asistencia</v>
          </cell>
        </row>
        <row r="447">
          <cell r="C447" t="str">
            <v>REQUELME BACON CESAR DAVID</v>
          </cell>
          <cell r="D447">
            <v>46154</v>
          </cell>
          <cell r="E447" t="str">
            <v>A</v>
          </cell>
          <cell r="H447" t="str">
            <v>Asistencia</v>
          </cell>
        </row>
        <row r="448">
          <cell r="C448" t="str">
            <v>REQUELME BACON CESAR DAVID</v>
          </cell>
          <cell r="D448">
            <v>46155</v>
          </cell>
          <cell r="E448" t="str">
            <v>A</v>
          </cell>
          <cell r="H448" t="str">
            <v>Asistencia</v>
          </cell>
        </row>
        <row r="449">
          <cell r="C449" t="str">
            <v>REQUELME BACON CESAR DAVID</v>
          </cell>
          <cell r="D449">
            <v>46156</v>
          </cell>
          <cell r="E449" t="str">
            <v>A</v>
          </cell>
          <cell r="H449" t="str">
            <v>Asistencia</v>
          </cell>
        </row>
        <row r="450">
          <cell r="C450" t="str">
            <v>REQUELME BACON CESAR DAVID</v>
          </cell>
          <cell r="D450">
            <v>46157</v>
          </cell>
          <cell r="E450" t="str">
            <v>A</v>
          </cell>
          <cell r="H450" t="str">
            <v>Asistencia</v>
          </cell>
        </row>
        <row r="451">
          <cell r="C451" t="str">
            <v>REQUELME BACON CESAR DAVID</v>
          </cell>
          <cell r="D451">
            <v>46158</v>
          </cell>
          <cell r="E451" t="str">
            <v>A</v>
          </cell>
          <cell r="H451" t="str">
            <v>Asistencia</v>
          </cell>
        </row>
        <row r="452">
          <cell r="C452" t="str">
            <v>REQUELME BACON CESAR DAVID</v>
          </cell>
          <cell r="D452">
            <v>46159</v>
          </cell>
          <cell r="E452" t="str">
            <v>A</v>
          </cell>
          <cell r="H452" t="str">
            <v>Asistencia</v>
          </cell>
        </row>
        <row r="453">
          <cell r="C453" t="str">
            <v>REQUELME BACON CESAR DAVID</v>
          </cell>
          <cell r="D453">
            <v>46160</v>
          </cell>
          <cell r="E453" t="str">
            <v>A</v>
          </cell>
          <cell r="H453" t="str">
            <v>Asistencia</v>
          </cell>
        </row>
        <row r="454">
          <cell r="C454" t="str">
            <v>REQUELME BACON CESAR DAVID</v>
          </cell>
          <cell r="D454">
            <v>46161</v>
          </cell>
          <cell r="E454" t="str">
            <v>DR</v>
          </cell>
          <cell r="H454" t="str">
            <v>D. Remunerado</v>
          </cell>
        </row>
        <row r="455">
          <cell r="C455" t="str">
            <v>REQUELME BACON CESAR DAVID</v>
          </cell>
          <cell r="D455">
            <v>46162</v>
          </cell>
          <cell r="E455" t="str">
            <v>DR</v>
          </cell>
          <cell r="H455" t="str">
            <v>D. Remunerado</v>
          </cell>
        </row>
        <row r="456">
          <cell r="C456" t="str">
            <v>REQUELME BACON CESAR DAVID</v>
          </cell>
          <cell r="D456">
            <v>46163</v>
          </cell>
          <cell r="E456" t="str">
            <v>DR</v>
          </cell>
          <cell r="H456" t="str">
            <v>D. Remunerado</v>
          </cell>
        </row>
        <row r="457">
          <cell r="C457" t="str">
            <v>REQUELME BACON CESAR DAVID</v>
          </cell>
          <cell r="D457">
            <v>46164</v>
          </cell>
          <cell r="E457" t="str">
            <v>V</v>
          </cell>
          <cell r="H457" t="str">
            <v>Vacaciones</v>
          </cell>
        </row>
        <row r="458">
          <cell r="C458" t="str">
            <v>REQUELME BACON CESAR DAVID</v>
          </cell>
          <cell r="D458">
            <v>46165</v>
          </cell>
          <cell r="E458" t="str">
            <v>V</v>
          </cell>
          <cell r="H458" t="str">
            <v>Vacaciones</v>
          </cell>
        </row>
        <row r="459">
          <cell r="C459" t="str">
            <v>REQUELME BACON CESAR DAVID</v>
          </cell>
          <cell r="D459">
            <v>46166</v>
          </cell>
          <cell r="E459" t="str">
            <v>V</v>
          </cell>
          <cell r="H459" t="str">
            <v>Vacaciones</v>
          </cell>
        </row>
        <row r="460">
          <cell r="C460" t="str">
            <v>REQUELME BACON CESAR DAVID</v>
          </cell>
          <cell r="D460">
            <v>46167</v>
          </cell>
          <cell r="E460" t="str">
            <v>V</v>
          </cell>
          <cell r="H460" t="str">
            <v>Vacaciones</v>
          </cell>
        </row>
        <row r="461">
          <cell r="C461" t="str">
            <v>REQUELME BACON CESAR DAVID</v>
          </cell>
          <cell r="D461">
            <v>46168</v>
          </cell>
          <cell r="E461" t="str">
            <v>V</v>
          </cell>
          <cell r="H461" t="str">
            <v>Vacaciones</v>
          </cell>
        </row>
        <row r="462">
          <cell r="C462" t="str">
            <v>REQUELME BACON CESAR DAVID</v>
          </cell>
          <cell r="D462">
            <v>46169</v>
          </cell>
          <cell r="E462" t="str">
            <v>V</v>
          </cell>
          <cell r="H462" t="str">
            <v>Vacaciones</v>
          </cell>
        </row>
        <row r="463">
          <cell r="C463" t="str">
            <v>REQUELME BACON CESAR DAVID</v>
          </cell>
          <cell r="D463">
            <v>46170</v>
          </cell>
          <cell r="E463" t="str">
            <v>V</v>
          </cell>
          <cell r="H463" t="str">
            <v>Vacaciones</v>
          </cell>
        </row>
        <row r="464">
          <cell r="C464" t="str">
            <v>REQUELME BACON CESAR DAVID</v>
          </cell>
          <cell r="D464">
            <v>46171</v>
          </cell>
          <cell r="E464" t="str">
            <v>A</v>
          </cell>
          <cell r="H464" t="str">
            <v>Asistencia</v>
          </cell>
        </row>
        <row r="465">
          <cell r="C465" t="str">
            <v>REQUELME BACON CESAR DAVID</v>
          </cell>
          <cell r="D465">
            <v>46172</v>
          </cell>
          <cell r="E465" t="str">
            <v>A</v>
          </cell>
          <cell r="H465" t="str">
            <v>Asistencia</v>
          </cell>
        </row>
        <row r="466">
          <cell r="C466" t="str">
            <v>REQUELME BACON CESAR DAVID</v>
          </cell>
          <cell r="D466">
            <v>46173</v>
          </cell>
          <cell r="E466" t="str">
            <v>A</v>
          </cell>
          <cell r="H466" t="str">
            <v>Asistencia</v>
          </cell>
        </row>
        <row r="467">
          <cell r="C467" t="str">
            <v>CARRASCO CRUZ REDER MILIAN</v>
          </cell>
          <cell r="D467">
            <v>46143</v>
          </cell>
          <cell r="E467" t="str">
            <v>B</v>
          </cell>
          <cell r="H467" t="e">
            <v>#N/A</v>
          </cell>
        </row>
        <row r="468">
          <cell r="C468" t="str">
            <v>CARRASCO CRUZ REDER MILIAN</v>
          </cell>
          <cell r="D468">
            <v>46144</v>
          </cell>
          <cell r="E468" t="str">
            <v>B</v>
          </cell>
          <cell r="H468" t="e">
            <v>#N/A</v>
          </cell>
        </row>
        <row r="469">
          <cell r="C469" t="str">
            <v>CARRASCO CRUZ REDER MILIAN</v>
          </cell>
          <cell r="D469">
            <v>46145</v>
          </cell>
          <cell r="E469" t="str">
            <v>B</v>
          </cell>
          <cell r="H469" t="e">
            <v>#N/A</v>
          </cell>
        </row>
        <row r="470">
          <cell r="C470" t="str">
            <v>CARRASCO CRUZ REDER MILIAN</v>
          </cell>
          <cell r="D470">
            <v>46146</v>
          </cell>
          <cell r="E470" t="str">
            <v>B</v>
          </cell>
          <cell r="H470" t="e">
            <v>#N/A</v>
          </cell>
        </row>
        <row r="471">
          <cell r="C471" t="str">
            <v>CARRASCO CRUZ REDER MILIAN</v>
          </cell>
          <cell r="D471">
            <v>46147</v>
          </cell>
          <cell r="E471" t="str">
            <v>B</v>
          </cell>
          <cell r="H471" t="e">
            <v>#N/A</v>
          </cell>
        </row>
        <row r="472">
          <cell r="C472" t="str">
            <v>CARRASCO CRUZ REDER MILIAN</v>
          </cell>
          <cell r="D472">
            <v>46148</v>
          </cell>
          <cell r="E472" t="str">
            <v>B</v>
          </cell>
          <cell r="H472" t="e">
            <v>#N/A</v>
          </cell>
        </row>
        <row r="473">
          <cell r="C473" t="str">
            <v>CARRASCO CRUZ REDER MILIAN</v>
          </cell>
          <cell r="D473">
            <v>46149</v>
          </cell>
          <cell r="E473" t="str">
            <v>B</v>
          </cell>
          <cell r="H473" t="e">
            <v>#N/A</v>
          </cell>
        </row>
        <row r="474">
          <cell r="C474" t="str">
            <v>CARRASCO CRUZ REDER MILIAN</v>
          </cell>
          <cell r="D474">
            <v>46150</v>
          </cell>
          <cell r="E474" t="str">
            <v>B</v>
          </cell>
          <cell r="H474" t="e">
            <v>#N/A</v>
          </cell>
        </row>
        <row r="475">
          <cell r="C475" t="str">
            <v>CARRASCO CRUZ REDER MILIAN</v>
          </cell>
          <cell r="D475">
            <v>46151</v>
          </cell>
          <cell r="E475" t="str">
            <v>B</v>
          </cell>
          <cell r="H475" t="e">
            <v>#N/A</v>
          </cell>
        </row>
        <row r="476">
          <cell r="C476" t="str">
            <v>CARRASCO CRUZ REDER MILIAN</v>
          </cell>
          <cell r="D476">
            <v>46152</v>
          </cell>
          <cell r="E476" t="str">
            <v>B</v>
          </cell>
          <cell r="H476" t="e">
            <v>#N/A</v>
          </cell>
        </row>
        <row r="477">
          <cell r="C477" t="str">
            <v>CARRASCO CRUZ REDER MILIAN</v>
          </cell>
          <cell r="D477">
            <v>46153</v>
          </cell>
          <cell r="E477" t="str">
            <v>B</v>
          </cell>
          <cell r="H477" t="e">
            <v>#N/A</v>
          </cell>
        </row>
        <row r="478">
          <cell r="C478" t="str">
            <v>CARRASCO CRUZ REDER MILIAN</v>
          </cell>
          <cell r="D478">
            <v>46154</v>
          </cell>
          <cell r="E478" t="str">
            <v>B</v>
          </cell>
          <cell r="H478" t="e">
            <v>#N/A</v>
          </cell>
        </row>
        <row r="479">
          <cell r="C479" t="str">
            <v>CARRASCO CRUZ REDER MILIAN</v>
          </cell>
          <cell r="D479">
            <v>46155</v>
          </cell>
          <cell r="E479" t="str">
            <v>B</v>
          </cell>
          <cell r="H479" t="e">
            <v>#N/A</v>
          </cell>
        </row>
        <row r="480">
          <cell r="C480" t="str">
            <v>CARRASCO CRUZ REDER MILIAN</v>
          </cell>
          <cell r="D480">
            <v>46156</v>
          </cell>
          <cell r="E480" t="str">
            <v>B</v>
          </cell>
          <cell r="H480" t="e">
            <v>#N/A</v>
          </cell>
        </row>
        <row r="481">
          <cell r="C481" t="str">
            <v>CARRASCO CRUZ REDER MILIAN</v>
          </cell>
          <cell r="D481">
            <v>46157</v>
          </cell>
          <cell r="E481" t="str">
            <v>B</v>
          </cell>
          <cell r="H481" t="e">
            <v>#N/A</v>
          </cell>
        </row>
        <row r="482">
          <cell r="C482" t="str">
            <v>CARRASCO CRUZ REDER MILIAN</v>
          </cell>
          <cell r="D482">
            <v>46158</v>
          </cell>
          <cell r="E482" t="str">
            <v>B</v>
          </cell>
          <cell r="H482" t="e">
            <v>#N/A</v>
          </cell>
        </row>
        <row r="483">
          <cell r="C483" t="str">
            <v>CARRASCO CRUZ REDER MILIAN</v>
          </cell>
          <cell r="D483">
            <v>46159</v>
          </cell>
          <cell r="E483" t="str">
            <v>B</v>
          </cell>
          <cell r="H483" t="e">
            <v>#N/A</v>
          </cell>
        </row>
        <row r="484">
          <cell r="C484" t="str">
            <v>CARRASCO CRUZ REDER MILIAN</v>
          </cell>
          <cell r="D484">
            <v>46160</v>
          </cell>
          <cell r="E484" t="str">
            <v>B</v>
          </cell>
          <cell r="H484" t="e">
            <v>#N/A</v>
          </cell>
        </row>
        <row r="485">
          <cell r="C485" t="str">
            <v>CARRASCO CRUZ REDER MILIAN</v>
          </cell>
          <cell r="D485">
            <v>46161</v>
          </cell>
          <cell r="E485" t="str">
            <v>B</v>
          </cell>
          <cell r="H485" t="e">
            <v>#N/A</v>
          </cell>
        </row>
        <row r="486">
          <cell r="C486" t="str">
            <v>CARRASCO CRUZ REDER MILIAN</v>
          </cell>
          <cell r="D486">
            <v>46162</v>
          </cell>
          <cell r="E486" t="str">
            <v/>
          </cell>
          <cell r="H486" t="e">
            <v>#N/A</v>
          </cell>
        </row>
        <row r="487">
          <cell r="C487" t="str">
            <v>CARRASCO CRUZ REDER MILIAN</v>
          </cell>
          <cell r="D487">
            <v>46163</v>
          </cell>
          <cell r="E487" t="str">
            <v/>
          </cell>
          <cell r="H487" t="e">
            <v>#N/A</v>
          </cell>
        </row>
        <row r="488">
          <cell r="C488" t="str">
            <v>CARRASCO CRUZ REDER MILIAN</v>
          </cell>
          <cell r="D488">
            <v>46164</v>
          </cell>
          <cell r="E488" t="str">
            <v/>
          </cell>
          <cell r="H488" t="e">
            <v>#N/A</v>
          </cell>
        </row>
        <row r="489">
          <cell r="C489" t="str">
            <v>CARRASCO CRUZ REDER MILIAN</v>
          </cell>
          <cell r="D489">
            <v>46165</v>
          </cell>
          <cell r="E489" t="str">
            <v/>
          </cell>
          <cell r="H489" t="e">
            <v>#N/A</v>
          </cell>
        </row>
        <row r="490">
          <cell r="C490" t="str">
            <v>CARRASCO CRUZ REDER MILIAN</v>
          </cell>
          <cell r="D490">
            <v>46166</v>
          </cell>
          <cell r="E490" t="str">
            <v/>
          </cell>
          <cell r="H490" t="e">
            <v>#N/A</v>
          </cell>
        </row>
        <row r="491">
          <cell r="C491" t="str">
            <v>CARRASCO CRUZ REDER MILIAN</v>
          </cell>
          <cell r="D491">
            <v>46167</v>
          </cell>
          <cell r="E491" t="str">
            <v/>
          </cell>
          <cell r="H491" t="e">
            <v>#N/A</v>
          </cell>
        </row>
        <row r="492">
          <cell r="C492" t="str">
            <v>CARRASCO CRUZ REDER MILIAN</v>
          </cell>
          <cell r="D492">
            <v>46168</v>
          </cell>
          <cell r="E492" t="str">
            <v/>
          </cell>
          <cell r="H492" t="e">
            <v>#N/A</v>
          </cell>
        </row>
        <row r="493">
          <cell r="C493" t="str">
            <v>CARRASCO CRUZ REDER MILIAN</v>
          </cell>
          <cell r="D493">
            <v>46169</v>
          </cell>
          <cell r="E493" t="str">
            <v/>
          </cell>
          <cell r="H493" t="e">
            <v>#N/A</v>
          </cell>
        </row>
        <row r="494">
          <cell r="C494" t="str">
            <v>CARRASCO CRUZ REDER MILIAN</v>
          </cell>
          <cell r="D494">
            <v>46170</v>
          </cell>
          <cell r="E494" t="str">
            <v/>
          </cell>
          <cell r="H494" t="e">
            <v>#N/A</v>
          </cell>
        </row>
        <row r="495">
          <cell r="C495" t="str">
            <v>CARRASCO CRUZ REDER MILIAN</v>
          </cell>
          <cell r="D495">
            <v>46171</v>
          </cell>
          <cell r="E495" t="str">
            <v/>
          </cell>
          <cell r="H495" t="e">
            <v>#N/A</v>
          </cell>
        </row>
        <row r="496">
          <cell r="C496" t="str">
            <v>CARRASCO CRUZ REDER MILIAN</v>
          </cell>
          <cell r="D496">
            <v>46172</v>
          </cell>
          <cell r="E496" t="str">
            <v/>
          </cell>
          <cell r="H496" t="e">
            <v>#N/A</v>
          </cell>
        </row>
        <row r="497">
          <cell r="C497" t="str">
            <v>CARRASCO CRUZ REDER MILIAN</v>
          </cell>
          <cell r="D497">
            <v>46173</v>
          </cell>
          <cell r="E497" t="str">
            <v/>
          </cell>
          <cell r="H497" t="e">
            <v>#N/A</v>
          </cell>
        </row>
        <row r="498">
          <cell r="C498" t="str">
            <v>CRUZ VARGAS MARCO ANTONIO</v>
          </cell>
          <cell r="D498">
            <v>46143</v>
          </cell>
          <cell r="E498" t="str">
            <v>A</v>
          </cell>
          <cell r="H498" t="str">
            <v>Asistencia</v>
          </cell>
        </row>
        <row r="499">
          <cell r="C499" t="str">
            <v>CRUZ VARGAS MARCO ANTONIO</v>
          </cell>
          <cell r="D499">
            <v>46144</v>
          </cell>
          <cell r="E499" t="str">
            <v>DNR</v>
          </cell>
          <cell r="H499" t="str">
            <v>No Remunerado</v>
          </cell>
        </row>
        <row r="500">
          <cell r="C500" t="str">
            <v>CRUZ VARGAS MARCO ANTONIO</v>
          </cell>
          <cell r="D500">
            <v>46145</v>
          </cell>
          <cell r="E500" t="str">
            <v>DNR</v>
          </cell>
          <cell r="H500" t="str">
            <v>No Remunerado</v>
          </cell>
        </row>
        <row r="501">
          <cell r="C501" t="str">
            <v>CRUZ VARGAS MARCO ANTONIO</v>
          </cell>
          <cell r="D501">
            <v>46146</v>
          </cell>
          <cell r="E501" t="str">
            <v>A</v>
          </cell>
          <cell r="H501" t="str">
            <v>Asistencia</v>
          </cell>
        </row>
        <row r="502">
          <cell r="C502" t="str">
            <v>CRUZ VARGAS MARCO ANTONIO</v>
          </cell>
          <cell r="D502">
            <v>46147</v>
          </cell>
          <cell r="E502" t="str">
            <v>A</v>
          </cell>
          <cell r="H502" t="str">
            <v>Asistencia</v>
          </cell>
        </row>
        <row r="503">
          <cell r="C503" t="str">
            <v>CRUZ VARGAS MARCO ANTONIO</v>
          </cell>
          <cell r="D503">
            <v>46148</v>
          </cell>
          <cell r="E503" t="str">
            <v>A</v>
          </cell>
          <cell r="H503" t="str">
            <v>Asistencia</v>
          </cell>
        </row>
        <row r="504">
          <cell r="C504" t="str">
            <v>CRUZ VARGAS MARCO ANTONIO</v>
          </cell>
          <cell r="D504">
            <v>46149</v>
          </cell>
          <cell r="E504" t="str">
            <v>A</v>
          </cell>
          <cell r="H504" t="str">
            <v>Asistencia</v>
          </cell>
        </row>
        <row r="505">
          <cell r="C505" t="str">
            <v>CRUZ VARGAS MARCO ANTONIO</v>
          </cell>
          <cell r="D505">
            <v>46150</v>
          </cell>
          <cell r="E505" t="str">
            <v>DNR</v>
          </cell>
          <cell r="H505" t="str">
            <v>No Remunerado</v>
          </cell>
        </row>
        <row r="506">
          <cell r="C506" t="str">
            <v>CRUZ VARGAS MARCO ANTONIO</v>
          </cell>
          <cell r="D506">
            <v>46151</v>
          </cell>
          <cell r="E506" t="str">
            <v>DNR</v>
          </cell>
          <cell r="H506" t="str">
            <v>No Remunerado</v>
          </cell>
        </row>
        <row r="507">
          <cell r="C507" t="str">
            <v>CRUZ VARGAS MARCO ANTONIO</v>
          </cell>
          <cell r="D507">
            <v>46152</v>
          </cell>
          <cell r="E507" t="str">
            <v>DNR</v>
          </cell>
          <cell r="H507" t="str">
            <v>No Remunerado</v>
          </cell>
        </row>
        <row r="508">
          <cell r="C508" t="str">
            <v>CRUZ VARGAS MARCO ANTONIO</v>
          </cell>
          <cell r="D508">
            <v>46153</v>
          </cell>
          <cell r="E508" t="str">
            <v>A</v>
          </cell>
          <cell r="H508" t="str">
            <v>Asistencia</v>
          </cell>
        </row>
        <row r="509">
          <cell r="C509" t="str">
            <v>CRUZ VARGAS MARCO ANTONIO</v>
          </cell>
          <cell r="D509">
            <v>46154</v>
          </cell>
          <cell r="E509" t="str">
            <v>DNR</v>
          </cell>
          <cell r="H509" t="str">
            <v>No Remunerado</v>
          </cell>
        </row>
        <row r="510">
          <cell r="C510" t="str">
            <v>CRUZ VARGAS MARCO ANTONIO</v>
          </cell>
          <cell r="D510">
            <v>46155</v>
          </cell>
          <cell r="E510" t="str">
            <v>DNR</v>
          </cell>
          <cell r="H510" t="str">
            <v>No Remunerado</v>
          </cell>
        </row>
        <row r="511">
          <cell r="C511" t="str">
            <v>CRUZ VARGAS MARCO ANTONIO</v>
          </cell>
          <cell r="D511">
            <v>46156</v>
          </cell>
          <cell r="E511" t="str">
            <v>DNR</v>
          </cell>
          <cell r="H511" t="str">
            <v>No Remunerado</v>
          </cell>
        </row>
        <row r="512">
          <cell r="C512" t="str">
            <v>CRUZ VARGAS MARCO ANTONIO</v>
          </cell>
          <cell r="D512">
            <v>46157</v>
          </cell>
          <cell r="E512" t="str">
            <v>DNR</v>
          </cell>
          <cell r="H512" t="str">
            <v>No Remunerado</v>
          </cell>
        </row>
        <row r="513">
          <cell r="C513" t="str">
            <v>CRUZ VARGAS MARCO ANTONIO</v>
          </cell>
          <cell r="D513">
            <v>46158</v>
          </cell>
          <cell r="E513" t="str">
            <v>DNR</v>
          </cell>
          <cell r="H513" t="str">
            <v>No Remunerado</v>
          </cell>
        </row>
        <row r="514">
          <cell r="C514" t="str">
            <v>CRUZ VARGAS MARCO ANTONIO</v>
          </cell>
          <cell r="D514">
            <v>46159</v>
          </cell>
          <cell r="E514" t="str">
            <v>DNR</v>
          </cell>
          <cell r="H514" t="str">
            <v>No Remunerado</v>
          </cell>
        </row>
        <row r="515">
          <cell r="C515" t="str">
            <v>CRUZ VARGAS MARCO ANTONIO</v>
          </cell>
          <cell r="D515">
            <v>46160</v>
          </cell>
          <cell r="E515" t="str">
            <v>DNR</v>
          </cell>
          <cell r="H515" t="str">
            <v>No Remunerado</v>
          </cell>
        </row>
        <row r="516">
          <cell r="C516" t="str">
            <v>CRUZ VARGAS MARCO ANTONIO</v>
          </cell>
          <cell r="D516">
            <v>46161</v>
          </cell>
          <cell r="E516" t="str">
            <v>DNR</v>
          </cell>
          <cell r="H516" t="str">
            <v>No Remunerado</v>
          </cell>
        </row>
        <row r="517">
          <cell r="C517" t="str">
            <v>CRUZ VARGAS MARCO ANTONIO</v>
          </cell>
          <cell r="D517">
            <v>46162</v>
          </cell>
          <cell r="E517" t="str">
            <v>DNR</v>
          </cell>
          <cell r="H517" t="str">
            <v>No Remunerado</v>
          </cell>
        </row>
        <row r="518">
          <cell r="C518" t="str">
            <v>CRUZ VARGAS MARCO ANTONIO</v>
          </cell>
          <cell r="D518">
            <v>46163</v>
          </cell>
          <cell r="E518" t="str">
            <v>DNR</v>
          </cell>
          <cell r="H518" t="str">
            <v>No Remunerado</v>
          </cell>
        </row>
        <row r="519">
          <cell r="C519" t="str">
            <v>CRUZ VARGAS MARCO ANTONIO</v>
          </cell>
          <cell r="D519">
            <v>46164</v>
          </cell>
          <cell r="E519" t="str">
            <v>DNR</v>
          </cell>
          <cell r="H519" t="str">
            <v>No Remunerado</v>
          </cell>
        </row>
        <row r="520">
          <cell r="C520" t="str">
            <v>CRUZ VARGAS MARCO ANTONIO</v>
          </cell>
          <cell r="D520">
            <v>46165</v>
          </cell>
          <cell r="E520" t="str">
            <v>DNR</v>
          </cell>
          <cell r="H520" t="str">
            <v>No Remunerado</v>
          </cell>
        </row>
        <row r="521">
          <cell r="C521" t="str">
            <v>CRUZ VARGAS MARCO ANTONIO</v>
          </cell>
          <cell r="D521">
            <v>46166</v>
          </cell>
          <cell r="E521" t="str">
            <v>DNR</v>
          </cell>
          <cell r="H521" t="str">
            <v>No Remunerado</v>
          </cell>
        </row>
        <row r="522">
          <cell r="C522" t="str">
            <v>CRUZ VARGAS MARCO ANTONIO</v>
          </cell>
          <cell r="D522">
            <v>46167</v>
          </cell>
          <cell r="E522" t="str">
            <v>DNR</v>
          </cell>
          <cell r="H522" t="str">
            <v>No Remunerado</v>
          </cell>
        </row>
        <row r="523">
          <cell r="C523" t="str">
            <v>CRUZ VARGAS MARCO ANTONIO</v>
          </cell>
          <cell r="D523">
            <v>46168</v>
          </cell>
          <cell r="E523" t="str">
            <v>DNR</v>
          </cell>
          <cell r="H523" t="str">
            <v>No Remunerado</v>
          </cell>
        </row>
        <row r="524">
          <cell r="C524" t="str">
            <v>CRUZ VARGAS MARCO ANTONIO</v>
          </cell>
          <cell r="D524">
            <v>46169</v>
          </cell>
          <cell r="E524" t="str">
            <v>DNR</v>
          </cell>
          <cell r="H524" t="str">
            <v>No Remunerado</v>
          </cell>
        </row>
        <row r="525">
          <cell r="C525" t="str">
            <v>CRUZ VARGAS MARCO ANTONIO</v>
          </cell>
          <cell r="D525">
            <v>46170</v>
          </cell>
          <cell r="E525" t="str">
            <v>DNR</v>
          </cell>
          <cell r="H525" t="str">
            <v>No Remunerado</v>
          </cell>
        </row>
        <row r="526">
          <cell r="C526" t="str">
            <v>CRUZ VARGAS MARCO ANTONIO</v>
          </cell>
          <cell r="D526">
            <v>46171</v>
          </cell>
          <cell r="E526" t="str">
            <v>DNR</v>
          </cell>
          <cell r="H526" t="str">
            <v>No Remunerado</v>
          </cell>
        </row>
        <row r="527">
          <cell r="C527" t="str">
            <v>CRUZ VARGAS MARCO ANTONIO</v>
          </cell>
          <cell r="D527">
            <v>46172</v>
          </cell>
          <cell r="E527" t="str">
            <v>DNR</v>
          </cell>
          <cell r="H527" t="str">
            <v>No Remunerado</v>
          </cell>
        </row>
        <row r="528">
          <cell r="C528" t="str">
            <v>CRUZ VARGAS MARCO ANTONIO</v>
          </cell>
          <cell r="D528">
            <v>46173</v>
          </cell>
          <cell r="E528" t="str">
            <v>DNR</v>
          </cell>
          <cell r="H528" t="str">
            <v>No Remunerado</v>
          </cell>
        </row>
        <row r="529">
          <cell r="C529" t="str">
            <v>BERNA TANTARICO BENJAMIN</v>
          </cell>
          <cell r="D529">
            <v>46143</v>
          </cell>
          <cell r="E529" t="str">
            <v>DNR</v>
          </cell>
          <cell r="H529" t="str">
            <v>No Remunerado</v>
          </cell>
        </row>
        <row r="530">
          <cell r="C530" t="str">
            <v>BERNA TANTARICO BENJAMIN</v>
          </cell>
          <cell r="D530">
            <v>46144</v>
          </cell>
          <cell r="E530" t="str">
            <v>DNR</v>
          </cell>
          <cell r="H530" t="str">
            <v>No Remunerado</v>
          </cell>
        </row>
        <row r="531">
          <cell r="C531" t="str">
            <v>BERNA TANTARICO BENJAMIN</v>
          </cell>
          <cell r="D531">
            <v>46145</v>
          </cell>
          <cell r="E531" t="str">
            <v>DNR</v>
          </cell>
          <cell r="H531" t="str">
            <v>No Remunerado</v>
          </cell>
        </row>
        <row r="532">
          <cell r="C532" t="str">
            <v>BERNA TANTARICO BENJAMIN</v>
          </cell>
          <cell r="D532">
            <v>46146</v>
          </cell>
          <cell r="E532" t="str">
            <v>A</v>
          </cell>
          <cell r="H532" t="str">
            <v>Asistencia</v>
          </cell>
        </row>
        <row r="533">
          <cell r="C533" t="str">
            <v>BERNA TANTARICO BENJAMIN</v>
          </cell>
          <cell r="D533">
            <v>46147</v>
          </cell>
          <cell r="E533" t="str">
            <v>A</v>
          </cell>
          <cell r="H533" t="str">
            <v>Asistencia</v>
          </cell>
        </row>
        <row r="534">
          <cell r="C534" t="str">
            <v>BERNA TANTARICO BENJAMIN</v>
          </cell>
          <cell r="D534">
            <v>46148</v>
          </cell>
          <cell r="E534" t="str">
            <v>A</v>
          </cell>
          <cell r="H534" t="str">
            <v>Asistencia</v>
          </cell>
        </row>
        <row r="535">
          <cell r="C535" t="str">
            <v>BERNA TANTARICO BENJAMIN</v>
          </cell>
          <cell r="D535">
            <v>46149</v>
          </cell>
          <cell r="E535" t="str">
            <v>DNR</v>
          </cell>
          <cell r="H535" t="str">
            <v>No Remunerado</v>
          </cell>
        </row>
        <row r="536">
          <cell r="C536" t="str">
            <v>BERNA TANTARICO BENJAMIN</v>
          </cell>
          <cell r="D536">
            <v>46150</v>
          </cell>
          <cell r="E536" t="str">
            <v>DNR</v>
          </cell>
          <cell r="H536" t="str">
            <v>No Remunerado</v>
          </cell>
        </row>
        <row r="537">
          <cell r="C537" t="str">
            <v>BERNA TANTARICO BENJAMIN</v>
          </cell>
          <cell r="D537">
            <v>46151</v>
          </cell>
          <cell r="E537" t="str">
            <v>DNR</v>
          </cell>
          <cell r="H537" t="str">
            <v>No Remunerado</v>
          </cell>
        </row>
        <row r="538">
          <cell r="C538" t="str">
            <v>BERNA TANTARICO BENJAMIN</v>
          </cell>
          <cell r="D538">
            <v>46152</v>
          </cell>
          <cell r="E538" t="str">
            <v>DNR</v>
          </cell>
          <cell r="H538" t="str">
            <v>No Remunerado</v>
          </cell>
        </row>
        <row r="539">
          <cell r="C539" t="str">
            <v>BERNA TANTARICO BENJAMIN</v>
          </cell>
          <cell r="D539">
            <v>46153</v>
          </cell>
          <cell r="E539" t="str">
            <v>A</v>
          </cell>
          <cell r="H539" t="str">
            <v>Asistencia</v>
          </cell>
        </row>
        <row r="540">
          <cell r="C540" t="str">
            <v>BERNA TANTARICO BENJAMIN</v>
          </cell>
          <cell r="D540">
            <v>46154</v>
          </cell>
          <cell r="E540" t="str">
            <v>A</v>
          </cell>
          <cell r="H540" t="str">
            <v>Asistencia</v>
          </cell>
        </row>
        <row r="541">
          <cell r="C541" t="str">
            <v>BERNA TANTARICO BENJAMIN</v>
          </cell>
          <cell r="D541">
            <v>46155</v>
          </cell>
          <cell r="E541" t="str">
            <v>A</v>
          </cell>
          <cell r="H541" t="str">
            <v>Asistencia</v>
          </cell>
        </row>
        <row r="542">
          <cell r="C542" t="str">
            <v>BERNA TANTARICO BENJAMIN</v>
          </cell>
          <cell r="D542">
            <v>46156</v>
          </cell>
          <cell r="E542" t="str">
            <v>A</v>
          </cell>
          <cell r="H542" t="str">
            <v>Asistencia</v>
          </cell>
        </row>
        <row r="543">
          <cell r="C543" t="str">
            <v>BERNA TANTARICO BENJAMIN</v>
          </cell>
          <cell r="D543">
            <v>46157</v>
          </cell>
          <cell r="E543" t="str">
            <v>A</v>
          </cell>
          <cell r="H543" t="str">
            <v>Asistencia</v>
          </cell>
        </row>
        <row r="544">
          <cell r="C544" t="str">
            <v>BERNA TANTARICO BENJAMIN</v>
          </cell>
          <cell r="D544">
            <v>46158</v>
          </cell>
          <cell r="E544" t="str">
            <v>A</v>
          </cell>
          <cell r="H544" t="str">
            <v>Asistencia</v>
          </cell>
        </row>
        <row r="545">
          <cell r="C545" t="str">
            <v>BERNA TANTARICO BENJAMIN</v>
          </cell>
          <cell r="D545">
            <v>46159</v>
          </cell>
          <cell r="E545" t="str">
            <v>DR</v>
          </cell>
          <cell r="H545" t="str">
            <v>D. Remunerado</v>
          </cell>
        </row>
        <row r="546">
          <cell r="C546" t="str">
            <v>BERNA TANTARICO BENJAMIN</v>
          </cell>
          <cell r="D546">
            <v>46160</v>
          </cell>
          <cell r="E546" t="str">
            <v>A</v>
          </cell>
          <cell r="H546" t="str">
            <v>Asistencia</v>
          </cell>
        </row>
        <row r="547">
          <cell r="C547" t="str">
            <v>BERNA TANTARICO BENJAMIN</v>
          </cell>
          <cell r="D547">
            <v>46161</v>
          </cell>
          <cell r="E547" t="str">
            <v>A</v>
          </cell>
          <cell r="H547" t="str">
            <v>Asistencia</v>
          </cell>
        </row>
        <row r="548">
          <cell r="C548" t="str">
            <v>BERNA TANTARICO BENJAMIN</v>
          </cell>
          <cell r="D548">
            <v>46162</v>
          </cell>
          <cell r="E548" t="str">
            <v>A</v>
          </cell>
          <cell r="H548" t="str">
            <v>Asistencia</v>
          </cell>
        </row>
        <row r="549">
          <cell r="C549" t="str">
            <v>BERNA TANTARICO BENJAMIN</v>
          </cell>
          <cell r="D549">
            <v>46163</v>
          </cell>
          <cell r="E549" t="str">
            <v>A</v>
          </cell>
          <cell r="H549" t="str">
            <v>Asistencia</v>
          </cell>
        </row>
        <row r="550">
          <cell r="C550" t="str">
            <v>BERNA TANTARICO BENJAMIN</v>
          </cell>
          <cell r="D550">
            <v>46164</v>
          </cell>
          <cell r="E550" t="str">
            <v>A</v>
          </cell>
          <cell r="H550" t="str">
            <v>Asistencia</v>
          </cell>
        </row>
        <row r="551">
          <cell r="C551" t="str">
            <v>BERNA TANTARICO BENJAMIN</v>
          </cell>
          <cell r="D551">
            <v>46165</v>
          </cell>
          <cell r="E551" t="str">
            <v>A</v>
          </cell>
          <cell r="H551" t="str">
            <v>Asistencia</v>
          </cell>
        </row>
        <row r="552">
          <cell r="C552" t="str">
            <v>BERNA TANTARICO BENJAMIN</v>
          </cell>
          <cell r="D552">
            <v>46166</v>
          </cell>
          <cell r="E552" t="str">
            <v>DR</v>
          </cell>
          <cell r="H552" t="str">
            <v>D. Remunerado</v>
          </cell>
        </row>
        <row r="553">
          <cell r="C553" t="str">
            <v>BERNA TANTARICO BENJAMIN</v>
          </cell>
          <cell r="D553">
            <v>46167</v>
          </cell>
          <cell r="E553" t="str">
            <v>A</v>
          </cell>
          <cell r="H553" t="str">
            <v>Asistencia</v>
          </cell>
        </row>
        <row r="554">
          <cell r="C554" t="str">
            <v>BERNA TANTARICO BENJAMIN</v>
          </cell>
          <cell r="D554">
            <v>46168</v>
          </cell>
          <cell r="E554" t="str">
            <v>A</v>
          </cell>
          <cell r="H554" t="str">
            <v>Asistencia</v>
          </cell>
        </row>
        <row r="555">
          <cell r="C555" t="str">
            <v>BERNA TANTARICO BENJAMIN</v>
          </cell>
          <cell r="D555">
            <v>46169</v>
          </cell>
          <cell r="E555" t="str">
            <v>A</v>
          </cell>
          <cell r="H555" t="str">
            <v>Asistencia</v>
          </cell>
        </row>
        <row r="556">
          <cell r="C556" t="str">
            <v>BERNA TANTARICO BENJAMIN</v>
          </cell>
          <cell r="D556">
            <v>46170</v>
          </cell>
          <cell r="E556" t="str">
            <v>A</v>
          </cell>
          <cell r="H556" t="str">
            <v>Asistencia</v>
          </cell>
        </row>
        <row r="557">
          <cell r="C557" t="str">
            <v>BERNA TANTARICO BENJAMIN</v>
          </cell>
          <cell r="D557">
            <v>46171</v>
          </cell>
          <cell r="E557" t="str">
            <v>A</v>
          </cell>
          <cell r="H557" t="str">
            <v>Asistencia</v>
          </cell>
        </row>
        <row r="558">
          <cell r="C558" t="str">
            <v>BERNA TANTARICO BENJAMIN</v>
          </cell>
          <cell r="D558">
            <v>46172</v>
          </cell>
          <cell r="E558" t="str">
            <v>A</v>
          </cell>
          <cell r="H558" t="str">
            <v>Asistencia</v>
          </cell>
        </row>
        <row r="559">
          <cell r="C559" t="str">
            <v>BERNA TANTARICO BENJAMIN</v>
          </cell>
          <cell r="D559">
            <v>46173</v>
          </cell>
          <cell r="E559" t="str">
            <v>DR</v>
          </cell>
          <cell r="H559" t="str">
            <v>D. Remunerado</v>
          </cell>
        </row>
        <row r="560">
          <cell r="C560" t="str">
            <v>CALLE HUAMAN LEODAN JOEL</v>
          </cell>
          <cell r="D560">
            <v>46143</v>
          </cell>
          <cell r="E560" t="str">
            <v>A</v>
          </cell>
          <cell r="H560" t="str">
            <v>Asistencia</v>
          </cell>
        </row>
        <row r="561">
          <cell r="C561" t="str">
            <v>CALLE HUAMAN LEODAN JOEL</v>
          </cell>
          <cell r="D561">
            <v>46144</v>
          </cell>
          <cell r="E561" t="str">
            <v>DNR</v>
          </cell>
          <cell r="H561" t="str">
            <v>No Remunerado</v>
          </cell>
        </row>
        <row r="562">
          <cell r="C562" t="str">
            <v>CALLE HUAMAN LEODAN JOEL</v>
          </cell>
          <cell r="D562">
            <v>46145</v>
          </cell>
          <cell r="E562" t="str">
            <v>DNR</v>
          </cell>
          <cell r="H562" t="str">
            <v>No Remunerado</v>
          </cell>
        </row>
        <row r="563">
          <cell r="C563" t="str">
            <v>CALLE HUAMAN LEODAN JOEL</v>
          </cell>
          <cell r="D563">
            <v>46146</v>
          </cell>
          <cell r="E563" t="str">
            <v>A</v>
          </cell>
          <cell r="H563" t="str">
            <v>Asistencia</v>
          </cell>
        </row>
        <row r="564">
          <cell r="C564" t="str">
            <v>CALLE HUAMAN LEODAN JOEL</v>
          </cell>
          <cell r="D564">
            <v>46147</v>
          </cell>
          <cell r="E564" t="str">
            <v>A</v>
          </cell>
          <cell r="H564" t="str">
            <v>Asistencia</v>
          </cell>
        </row>
        <row r="565">
          <cell r="C565" t="str">
            <v>CALLE HUAMAN LEODAN JOEL</v>
          </cell>
          <cell r="D565">
            <v>46148</v>
          </cell>
          <cell r="E565" t="str">
            <v>A</v>
          </cell>
          <cell r="H565" t="str">
            <v>Asistencia</v>
          </cell>
        </row>
        <row r="566">
          <cell r="C566" t="str">
            <v>CALLE HUAMAN LEODAN JOEL</v>
          </cell>
          <cell r="D566">
            <v>46149</v>
          </cell>
          <cell r="E566" t="str">
            <v>A</v>
          </cell>
          <cell r="H566" t="str">
            <v>Asistencia</v>
          </cell>
        </row>
        <row r="567">
          <cell r="C567" t="str">
            <v>CALLE HUAMAN LEODAN JOEL</v>
          </cell>
          <cell r="D567">
            <v>46150</v>
          </cell>
          <cell r="E567" t="str">
            <v>A</v>
          </cell>
          <cell r="H567" t="str">
            <v>Asistencia</v>
          </cell>
        </row>
        <row r="568">
          <cell r="C568" t="str">
            <v>CALLE HUAMAN LEODAN JOEL</v>
          </cell>
          <cell r="D568">
            <v>46151</v>
          </cell>
          <cell r="E568" t="str">
            <v>A</v>
          </cell>
          <cell r="H568" t="str">
            <v>Asistencia</v>
          </cell>
        </row>
        <row r="569">
          <cell r="C569" t="str">
            <v>CALLE HUAMAN LEODAN JOEL</v>
          </cell>
          <cell r="D569">
            <v>46152</v>
          </cell>
          <cell r="E569" t="str">
            <v>DR</v>
          </cell>
          <cell r="H569" t="str">
            <v>D. Remunerado</v>
          </cell>
        </row>
        <row r="570">
          <cell r="C570" t="str">
            <v>CALLE HUAMAN LEODAN JOEL</v>
          </cell>
          <cell r="D570">
            <v>46153</v>
          </cell>
          <cell r="E570" t="str">
            <v>A</v>
          </cell>
          <cell r="H570" t="str">
            <v>Asistencia</v>
          </cell>
        </row>
        <row r="571">
          <cell r="C571" t="str">
            <v>CALLE HUAMAN LEODAN JOEL</v>
          </cell>
          <cell r="D571">
            <v>46154</v>
          </cell>
          <cell r="E571" t="str">
            <v>A</v>
          </cell>
          <cell r="H571" t="str">
            <v>Asistencia</v>
          </cell>
        </row>
        <row r="572">
          <cell r="C572" t="str">
            <v>CALLE HUAMAN LEODAN JOEL</v>
          </cell>
          <cell r="D572">
            <v>46155</v>
          </cell>
          <cell r="E572" t="str">
            <v>A</v>
          </cell>
          <cell r="H572" t="str">
            <v>Asistencia</v>
          </cell>
        </row>
        <row r="573">
          <cell r="C573" t="str">
            <v>CALLE HUAMAN LEODAN JOEL</v>
          </cell>
          <cell r="D573">
            <v>46156</v>
          </cell>
          <cell r="E573" t="str">
            <v>A</v>
          </cell>
          <cell r="H573" t="str">
            <v>Asistencia</v>
          </cell>
        </row>
        <row r="574">
          <cell r="C574" t="str">
            <v>CALLE HUAMAN LEODAN JOEL</v>
          </cell>
          <cell r="D574">
            <v>46157</v>
          </cell>
          <cell r="E574" t="str">
            <v>A</v>
          </cell>
          <cell r="H574" t="str">
            <v>Asistencia</v>
          </cell>
        </row>
        <row r="575">
          <cell r="C575" t="str">
            <v>CALLE HUAMAN LEODAN JOEL</v>
          </cell>
          <cell r="D575">
            <v>46158</v>
          </cell>
          <cell r="E575" t="str">
            <v>A</v>
          </cell>
          <cell r="H575" t="str">
            <v>Asistencia</v>
          </cell>
        </row>
        <row r="576">
          <cell r="C576" t="str">
            <v>CALLE HUAMAN LEODAN JOEL</v>
          </cell>
          <cell r="D576">
            <v>46159</v>
          </cell>
          <cell r="E576" t="str">
            <v>DR</v>
          </cell>
          <cell r="H576" t="str">
            <v>D. Remunerado</v>
          </cell>
        </row>
        <row r="577">
          <cell r="C577" t="str">
            <v>CALLE HUAMAN LEODAN JOEL</v>
          </cell>
          <cell r="D577">
            <v>46160</v>
          </cell>
          <cell r="E577" t="str">
            <v>A</v>
          </cell>
          <cell r="H577" t="str">
            <v>Asistencia</v>
          </cell>
        </row>
        <row r="578">
          <cell r="C578" t="str">
            <v>CALLE HUAMAN LEODAN JOEL</v>
          </cell>
          <cell r="D578">
            <v>46161</v>
          </cell>
          <cell r="E578" t="str">
            <v>A</v>
          </cell>
          <cell r="H578" t="str">
            <v>Asistencia</v>
          </cell>
        </row>
        <row r="579">
          <cell r="C579" t="str">
            <v>CALLE HUAMAN LEODAN JOEL</v>
          </cell>
          <cell r="D579">
            <v>46162</v>
          </cell>
          <cell r="E579" t="str">
            <v>A</v>
          </cell>
          <cell r="H579" t="str">
            <v>Asistencia</v>
          </cell>
        </row>
        <row r="580">
          <cell r="C580" t="str">
            <v>CALLE HUAMAN LEODAN JOEL</v>
          </cell>
          <cell r="D580">
            <v>46163</v>
          </cell>
          <cell r="E580" t="str">
            <v>A</v>
          </cell>
          <cell r="H580" t="str">
            <v>Asistencia</v>
          </cell>
        </row>
        <row r="581">
          <cell r="C581" t="str">
            <v>CALLE HUAMAN LEODAN JOEL</v>
          </cell>
          <cell r="D581">
            <v>46164</v>
          </cell>
          <cell r="E581" t="str">
            <v>A</v>
          </cell>
          <cell r="H581" t="str">
            <v>Asistencia</v>
          </cell>
        </row>
        <row r="582">
          <cell r="C582" t="str">
            <v>CALLE HUAMAN LEODAN JOEL</v>
          </cell>
          <cell r="D582">
            <v>46165</v>
          </cell>
          <cell r="E582" t="str">
            <v>A</v>
          </cell>
          <cell r="H582" t="str">
            <v>Asistencia</v>
          </cell>
        </row>
        <row r="583">
          <cell r="C583" t="str">
            <v>CALLE HUAMAN LEODAN JOEL</v>
          </cell>
          <cell r="D583">
            <v>46166</v>
          </cell>
          <cell r="E583" t="str">
            <v>DR</v>
          </cell>
          <cell r="H583" t="str">
            <v>D. Remunerado</v>
          </cell>
        </row>
        <row r="584">
          <cell r="C584" t="str">
            <v>CALLE HUAMAN LEODAN JOEL</v>
          </cell>
          <cell r="D584">
            <v>46167</v>
          </cell>
          <cell r="E584" t="str">
            <v>A</v>
          </cell>
          <cell r="H584" t="str">
            <v>Asistencia</v>
          </cell>
        </row>
        <row r="585">
          <cell r="C585" t="str">
            <v>CALLE HUAMAN LEODAN JOEL</v>
          </cell>
          <cell r="D585">
            <v>46168</v>
          </cell>
          <cell r="E585" t="str">
            <v>A</v>
          </cell>
          <cell r="H585" t="str">
            <v>Asistencia</v>
          </cell>
        </row>
        <row r="586">
          <cell r="C586" t="str">
            <v>CALLE HUAMAN LEODAN JOEL</v>
          </cell>
          <cell r="D586">
            <v>46169</v>
          </cell>
          <cell r="E586" t="str">
            <v>A</v>
          </cell>
          <cell r="H586" t="str">
            <v>Asistencia</v>
          </cell>
        </row>
        <row r="587">
          <cell r="C587" t="str">
            <v>CALLE HUAMAN LEODAN JOEL</v>
          </cell>
          <cell r="D587">
            <v>46170</v>
          </cell>
          <cell r="E587" t="str">
            <v>A</v>
          </cell>
          <cell r="H587" t="str">
            <v>Asistencia</v>
          </cell>
        </row>
        <row r="588">
          <cell r="C588" t="str">
            <v>CALLE HUAMAN LEODAN JOEL</v>
          </cell>
          <cell r="D588">
            <v>46171</v>
          </cell>
          <cell r="E588" t="str">
            <v>A</v>
          </cell>
          <cell r="H588" t="str">
            <v>Asistencia</v>
          </cell>
        </row>
        <row r="589">
          <cell r="C589" t="str">
            <v>CALLE HUAMAN LEODAN JOEL</v>
          </cell>
          <cell r="D589">
            <v>46172</v>
          </cell>
          <cell r="E589" t="str">
            <v>A</v>
          </cell>
          <cell r="H589" t="str">
            <v>Asistencia</v>
          </cell>
        </row>
        <row r="590">
          <cell r="C590" t="str">
            <v>CALLE HUAMAN LEODAN JOEL</v>
          </cell>
          <cell r="D590">
            <v>46173</v>
          </cell>
          <cell r="E590" t="str">
            <v>DR</v>
          </cell>
          <cell r="H590" t="str">
            <v>D. Remunerado</v>
          </cell>
        </row>
        <row r="591">
          <cell r="C591" t="str">
            <v>MANAYAY TANTARICO JHONATAN WILFER</v>
          </cell>
          <cell r="D591">
            <v>46143</v>
          </cell>
          <cell r="E591" t="str">
            <v>A</v>
          </cell>
          <cell r="H591" t="str">
            <v>Asistencia</v>
          </cell>
        </row>
        <row r="592">
          <cell r="C592" t="str">
            <v>MANAYAY TANTARICO JHONATAN WILFER</v>
          </cell>
          <cell r="D592">
            <v>46144</v>
          </cell>
          <cell r="E592" t="str">
            <v>DNR</v>
          </cell>
          <cell r="H592" t="str">
            <v>No Remunerado</v>
          </cell>
        </row>
        <row r="593">
          <cell r="C593" t="str">
            <v>MANAYAY TANTARICO JHONATAN WILFER</v>
          </cell>
          <cell r="D593">
            <v>46145</v>
          </cell>
          <cell r="E593" t="str">
            <v>DNR</v>
          </cell>
          <cell r="H593" t="str">
            <v>No Remunerado</v>
          </cell>
        </row>
        <row r="594">
          <cell r="C594" t="str">
            <v>MANAYAY TANTARICO JHONATAN WILFER</v>
          </cell>
          <cell r="D594">
            <v>46146</v>
          </cell>
          <cell r="E594" t="str">
            <v>A</v>
          </cell>
          <cell r="H594" t="str">
            <v>Asistencia</v>
          </cell>
        </row>
        <row r="595">
          <cell r="C595" t="str">
            <v>MANAYAY TANTARICO JHONATAN WILFER</v>
          </cell>
          <cell r="D595">
            <v>46147</v>
          </cell>
          <cell r="E595" t="str">
            <v>A</v>
          </cell>
          <cell r="H595" t="str">
            <v>Asistencia</v>
          </cell>
        </row>
        <row r="596">
          <cell r="C596" t="str">
            <v>MANAYAY TANTARICO JHONATAN WILFER</v>
          </cell>
          <cell r="D596">
            <v>46148</v>
          </cell>
          <cell r="E596" t="str">
            <v>A</v>
          </cell>
          <cell r="H596" t="str">
            <v>Asistencia</v>
          </cell>
        </row>
        <row r="597">
          <cell r="C597" t="str">
            <v>MANAYAY TANTARICO JHONATAN WILFER</v>
          </cell>
          <cell r="D597">
            <v>46149</v>
          </cell>
          <cell r="E597" t="str">
            <v>A</v>
          </cell>
          <cell r="H597" t="str">
            <v>Asistencia</v>
          </cell>
        </row>
        <row r="598">
          <cell r="C598" t="str">
            <v>MANAYAY TANTARICO JHONATAN WILFER</v>
          </cell>
          <cell r="D598">
            <v>46150</v>
          </cell>
          <cell r="E598" t="str">
            <v>A</v>
          </cell>
          <cell r="H598" t="str">
            <v>Asistencia</v>
          </cell>
        </row>
        <row r="599">
          <cell r="C599" t="str">
            <v>MANAYAY TANTARICO JHONATAN WILFER</v>
          </cell>
          <cell r="D599">
            <v>46151</v>
          </cell>
          <cell r="E599" t="str">
            <v>A</v>
          </cell>
          <cell r="H599" t="str">
            <v>Asistencia</v>
          </cell>
        </row>
        <row r="600">
          <cell r="C600" t="str">
            <v>MANAYAY TANTARICO JHONATAN WILFER</v>
          </cell>
          <cell r="D600">
            <v>46152</v>
          </cell>
          <cell r="E600" t="str">
            <v>DR</v>
          </cell>
          <cell r="H600" t="str">
            <v>D. Remunerado</v>
          </cell>
        </row>
        <row r="601">
          <cell r="C601" t="str">
            <v>MANAYAY TANTARICO JHONATAN WILFER</v>
          </cell>
          <cell r="D601">
            <v>46153</v>
          </cell>
          <cell r="E601" t="str">
            <v>A</v>
          </cell>
          <cell r="H601" t="str">
            <v>Asistencia</v>
          </cell>
        </row>
        <row r="602">
          <cell r="C602" t="str">
            <v>MANAYAY TANTARICO JHONATAN WILFER</v>
          </cell>
          <cell r="D602">
            <v>46154</v>
          </cell>
          <cell r="E602" t="str">
            <v>A</v>
          </cell>
          <cell r="H602" t="str">
            <v>Asistencia</v>
          </cell>
        </row>
        <row r="603">
          <cell r="C603" t="str">
            <v>MANAYAY TANTARICO JHONATAN WILFER</v>
          </cell>
          <cell r="D603">
            <v>46155</v>
          </cell>
          <cell r="E603" t="str">
            <v>A</v>
          </cell>
          <cell r="H603" t="str">
            <v>Asistencia</v>
          </cell>
        </row>
        <row r="604">
          <cell r="C604" t="str">
            <v>MANAYAY TANTARICO JHONATAN WILFER</v>
          </cell>
          <cell r="D604">
            <v>46156</v>
          </cell>
          <cell r="E604" t="str">
            <v>A</v>
          </cell>
          <cell r="H604" t="str">
            <v>Asistencia</v>
          </cell>
        </row>
        <row r="605">
          <cell r="C605" t="str">
            <v>MANAYAY TANTARICO JHONATAN WILFER</v>
          </cell>
          <cell r="D605">
            <v>46157</v>
          </cell>
          <cell r="E605" t="str">
            <v>A</v>
          </cell>
          <cell r="H605" t="str">
            <v>Asistencia</v>
          </cell>
        </row>
        <row r="606">
          <cell r="C606" t="str">
            <v>MANAYAY TANTARICO JHONATAN WILFER</v>
          </cell>
          <cell r="D606">
            <v>46158</v>
          </cell>
          <cell r="E606" t="str">
            <v>A</v>
          </cell>
          <cell r="H606" t="str">
            <v>Asistencia</v>
          </cell>
        </row>
        <row r="607">
          <cell r="C607" t="str">
            <v>MANAYAY TANTARICO JHONATAN WILFER</v>
          </cell>
          <cell r="D607">
            <v>46159</v>
          </cell>
          <cell r="E607" t="str">
            <v>DR</v>
          </cell>
          <cell r="H607" t="str">
            <v>D. Remunerado</v>
          </cell>
        </row>
        <row r="608">
          <cell r="C608" t="str">
            <v>MANAYAY TANTARICO JHONATAN WILFER</v>
          </cell>
          <cell r="D608">
            <v>46160</v>
          </cell>
          <cell r="E608" t="str">
            <v>A</v>
          </cell>
          <cell r="H608" t="str">
            <v>Asistencia</v>
          </cell>
        </row>
        <row r="609">
          <cell r="C609" t="str">
            <v>MANAYAY TANTARICO JHONATAN WILFER</v>
          </cell>
          <cell r="D609">
            <v>46161</v>
          </cell>
          <cell r="E609" t="str">
            <v>B</v>
          </cell>
          <cell r="H609" t="e">
            <v>#N/A</v>
          </cell>
        </row>
        <row r="610">
          <cell r="C610" t="str">
            <v>MANAYAY TANTARICO JHONATAN WILFER</v>
          </cell>
          <cell r="D610">
            <v>46162</v>
          </cell>
          <cell r="E610" t="str">
            <v/>
          </cell>
          <cell r="H610" t="e">
            <v>#N/A</v>
          </cell>
        </row>
        <row r="611">
          <cell r="C611" t="str">
            <v>MANAYAY TANTARICO JHONATAN WILFER</v>
          </cell>
          <cell r="D611">
            <v>46163</v>
          </cell>
          <cell r="E611" t="str">
            <v/>
          </cell>
          <cell r="H611" t="e">
            <v>#N/A</v>
          </cell>
        </row>
        <row r="612">
          <cell r="C612" t="str">
            <v>MANAYAY TANTARICO JHONATAN WILFER</v>
          </cell>
          <cell r="D612">
            <v>46164</v>
          </cell>
          <cell r="E612" t="str">
            <v/>
          </cell>
          <cell r="H612" t="e">
            <v>#N/A</v>
          </cell>
        </row>
        <row r="613">
          <cell r="C613" t="str">
            <v>MANAYAY TANTARICO JHONATAN WILFER</v>
          </cell>
          <cell r="D613">
            <v>46165</v>
          </cell>
          <cell r="E613" t="str">
            <v/>
          </cell>
          <cell r="H613" t="e">
            <v>#N/A</v>
          </cell>
        </row>
        <row r="614">
          <cell r="C614" t="str">
            <v>MANAYAY TANTARICO JHONATAN WILFER</v>
          </cell>
          <cell r="D614">
            <v>46166</v>
          </cell>
          <cell r="E614" t="str">
            <v/>
          </cell>
          <cell r="H614" t="e">
            <v>#N/A</v>
          </cell>
        </row>
        <row r="615">
          <cell r="C615" t="str">
            <v>MANAYAY TANTARICO JHONATAN WILFER</v>
          </cell>
          <cell r="D615">
            <v>46167</v>
          </cell>
          <cell r="E615" t="str">
            <v/>
          </cell>
          <cell r="H615" t="e">
            <v>#N/A</v>
          </cell>
        </row>
        <row r="616">
          <cell r="C616" t="str">
            <v>MANAYAY TANTARICO JHONATAN WILFER</v>
          </cell>
          <cell r="D616">
            <v>46168</v>
          </cell>
          <cell r="E616" t="str">
            <v/>
          </cell>
          <cell r="H616" t="e">
            <v>#N/A</v>
          </cell>
        </row>
        <row r="617">
          <cell r="C617" t="str">
            <v>MANAYAY TANTARICO JHONATAN WILFER</v>
          </cell>
          <cell r="D617">
            <v>46169</v>
          </cell>
          <cell r="E617" t="str">
            <v/>
          </cell>
          <cell r="H617" t="e">
            <v>#N/A</v>
          </cell>
        </row>
        <row r="618">
          <cell r="C618" t="str">
            <v>MANAYAY TANTARICO JHONATAN WILFER</v>
          </cell>
          <cell r="D618">
            <v>46170</v>
          </cell>
          <cell r="E618" t="str">
            <v/>
          </cell>
          <cell r="H618" t="e">
            <v>#N/A</v>
          </cell>
        </row>
        <row r="619">
          <cell r="C619" t="str">
            <v>MANAYAY TANTARICO JHONATAN WILFER</v>
          </cell>
          <cell r="D619">
            <v>46171</v>
          </cell>
          <cell r="E619" t="str">
            <v/>
          </cell>
          <cell r="H619" t="e">
            <v>#N/A</v>
          </cell>
        </row>
        <row r="620">
          <cell r="C620" t="str">
            <v>MANAYAY TANTARICO JHONATAN WILFER</v>
          </cell>
          <cell r="D620">
            <v>46172</v>
          </cell>
          <cell r="E620" t="str">
            <v/>
          </cell>
          <cell r="H620" t="e">
            <v>#N/A</v>
          </cell>
        </row>
        <row r="621">
          <cell r="C621" t="str">
            <v>MANAYAY TANTARICO JHONATAN WILFER</v>
          </cell>
          <cell r="D621">
            <v>46173</v>
          </cell>
          <cell r="E621" t="str">
            <v/>
          </cell>
          <cell r="H621" t="e">
            <v>#N/A</v>
          </cell>
        </row>
        <row r="622">
          <cell r="C622" t="str">
            <v>GARCIA RAMOS SEGUNDO MIGUEL</v>
          </cell>
          <cell r="D622">
            <v>46143</v>
          </cell>
          <cell r="E622" t="str">
            <v>N/A</v>
          </cell>
          <cell r="H622" t="str">
            <v>No Remunerado</v>
          </cell>
        </row>
        <row r="623">
          <cell r="C623" t="str">
            <v>GARCIA RAMOS SEGUNDO MIGUEL</v>
          </cell>
          <cell r="D623">
            <v>46144</v>
          </cell>
          <cell r="E623" t="str">
            <v>N/A</v>
          </cell>
          <cell r="H623" t="str">
            <v>No Remunerado</v>
          </cell>
        </row>
        <row r="624">
          <cell r="C624" t="str">
            <v>GARCIA RAMOS SEGUNDO MIGUEL</v>
          </cell>
          <cell r="D624">
            <v>46145</v>
          </cell>
          <cell r="E624" t="str">
            <v>N/A</v>
          </cell>
          <cell r="H624" t="str">
            <v>No Remunerado</v>
          </cell>
        </row>
        <row r="625">
          <cell r="C625" t="str">
            <v>GARCIA RAMOS SEGUNDO MIGUEL</v>
          </cell>
          <cell r="D625">
            <v>46146</v>
          </cell>
          <cell r="E625" t="str">
            <v>A</v>
          </cell>
          <cell r="H625" t="str">
            <v>Asistencia</v>
          </cell>
        </row>
        <row r="626">
          <cell r="C626" t="str">
            <v>GARCIA RAMOS SEGUNDO MIGUEL</v>
          </cell>
          <cell r="D626">
            <v>46147</v>
          </cell>
          <cell r="E626" t="str">
            <v>A</v>
          </cell>
          <cell r="H626" t="str">
            <v>Asistencia</v>
          </cell>
        </row>
        <row r="627">
          <cell r="C627" t="str">
            <v>GARCIA RAMOS SEGUNDO MIGUEL</v>
          </cell>
          <cell r="D627">
            <v>46148</v>
          </cell>
          <cell r="E627" t="str">
            <v>A</v>
          </cell>
          <cell r="H627" t="str">
            <v>Asistencia</v>
          </cell>
        </row>
        <row r="628">
          <cell r="C628" t="str">
            <v>GARCIA RAMOS SEGUNDO MIGUEL</v>
          </cell>
          <cell r="D628">
            <v>46149</v>
          </cell>
          <cell r="E628" t="str">
            <v>A</v>
          </cell>
          <cell r="H628" t="str">
            <v>Asistencia</v>
          </cell>
        </row>
        <row r="629">
          <cell r="C629" t="str">
            <v>GARCIA RAMOS SEGUNDO MIGUEL</v>
          </cell>
          <cell r="D629">
            <v>46150</v>
          </cell>
          <cell r="E629" t="str">
            <v>A</v>
          </cell>
          <cell r="H629" t="str">
            <v>Asistencia</v>
          </cell>
        </row>
        <row r="630">
          <cell r="C630" t="str">
            <v>GARCIA RAMOS SEGUNDO MIGUEL</v>
          </cell>
          <cell r="D630">
            <v>46151</v>
          </cell>
          <cell r="E630" t="str">
            <v>A</v>
          </cell>
          <cell r="H630" t="str">
            <v>Asistencia</v>
          </cell>
        </row>
        <row r="631">
          <cell r="C631" t="str">
            <v>GARCIA RAMOS SEGUNDO MIGUEL</v>
          </cell>
          <cell r="D631">
            <v>46152</v>
          </cell>
          <cell r="E631" t="str">
            <v>DR</v>
          </cell>
          <cell r="H631" t="str">
            <v>D. Remunerado</v>
          </cell>
        </row>
        <row r="632">
          <cell r="C632" t="str">
            <v>GARCIA RAMOS SEGUNDO MIGUEL</v>
          </cell>
          <cell r="D632">
            <v>46153</v>
          </cell>
          <cell r="E632" t="str">
            <v>A</v>
          </cell>
          <cell r="H632" t="str">
            <v>Asistencia</v>
          </cell>
        </row>
        <row r="633">
          <cell r="C633" t="str">
            <v>GARCIA RAMOS SEGUNDO MIGUEL</v>
          </cell>
          <cell r="D633">
            <v>46154</v>
          </cell>
          <cell r="E633" t="str">
            <v>A</v>
          </cell>
          <cell r="H633" t="str">
            <v>Asistencia</v>
          </cell>
        </row>
        <row r="634">
          <cell r="C634" t="str">
            <v>GARCIA RAMOS SEGUNDO MIGUEL</v>
          </cell>
          <cell r="D634">
            <v>46155</v>
          </cell>
          <cell r="E634" t="str">
            <v>A</v>
          </cell>
          <cell r="H634" t="str">
            <v>Asistencia</v>
          </cell>
        </row>
        <row r="635">
          <cell r="C635" t="str">
            <v>GARCIA RAMOS SEGUNDO MIGUEL</v>
          </cell>
          <cell r="D635">
            <v>46156</v>
          </cell>
          <cell r="E635" t="str">
            <v>A</v>
          </cell>
          <cell r="H635" t="str">
            <v>Asistencia</v>
          </cell>
        </row>
        <row r="636">
          <cell r="C636" t="str">
            <v>GARCIA RAMOS SEGUNDO MIGUEL</v>
          </cell>
          <cell r="D636">
            <v>46157</v>
          </cell>
          <cell r="E636" t="str">
            <v>A</v>
          </cell>
          <cell r="H636" t="str">
            <v>Asistencia</v>
          </cell>
        </row>
        <row r="637">
          <cell r="C637" t="str">
            <v>GARCIA RAMOS SEGUNDO MIGUEL</v>
          </cell>
          <cell r="D637">
            <v>46158</v>
          </cell>
          <cell r="E637" t="str">
            <v>A</v>
          </cell>
          <cell r="H637" t="str">
            <v>Asistencia</v>
          </cell>
        </row>
        <row r="638">
          <cell r="C638" t="str">
            <v>GARCIA RAMOS SEGUNDO MIGUEL</v>
          </cell>
          <cell r="D638">
            <v>46159</v>
          </cell>
          <cell r="E638" t="str">
            <v>DR</v>
          </cell>
          <cell r="H638" t="str">
            <v>D. Remunerado</v>
          </cell>
        </row>
        <row r="639">
          <cell r="C639" t="str">
            <v>GARCIA RAMOS SEGUNDO MIGUEL</v>
          </cell>
          <cell r="D639">
            <v>46160</v>
          </cell>
          <cell r="E639" t="str">
            <v>A</v>
          </cell>
          <cell r="H639" t="str">
            <v>Asistencia</v>
          </cell>
        </row>
        <row r="640">
          <cell r="C640" t="str">
            <v>GARCIA RAMOS SEGUNDO MIGUEL</v>
          </cell>
          <cell r="D640">
            <v>46161</v>
          </cell>
          <cell r="E640" t="str">
            <v>A</v>
          </cell>
          <cell r="H640" t="str">
            <v>Asistencia</v>
          </cell>
        </row>
        <row r="641">
          <cell r="C641" t="str">
            <v>GARCIA RAMOS SEGUNDO MIGUEL</v>
          </cell>
          <cell r="D641">
            <v>46162</v>
          </cell>
          <cell r="E641" t="str">
            <v>A</v>
          </cell>
          <cell r="H641" t="str">
            <v>Asistencia</v>
          </cell>
        </row>
        <row r="642">
          <cell r="C642" t="str">
            <v>GARCIA RAMOS SEGUNDO MIGUEL</v>
          </cell>
          <cell r="D642">
            <v>46163</v>
          </cell>
          <cell r="E642" t="str">
            <v>A</v>
          </cell>
          <cell r="H642" t="str">
            <v>Asistencia</v>
          </cell>
        </row>
        <row r="643">
          <cell r="C643" t="str">
            <v>GARCIA RAMOS SEGUNDO MIGUEL</v>
          </cell>
          <cell r="D643">
            <v>46164</v>
          </cell>
          <cell r="E643" t="str">
            <v>A</v>
          </cell>
          <cell r="H643" t="str">
            <v>Asistencia</v>
          </cell>
        </row>
        <row r="644">
          <cell r="C644" t="str">
            <v>GARCIA RAMOS SEGUNDO MIGUEL</v>
          </cell>
          <cell r="D644">
            <v>46165</v>
          </cell>
          <cell r="E644" t="str">
            <v>A</v>
          </cell>
          <cell r="H644" t="str">
            <v>Asistencia</v>
          </cell>
        </row>
        <row r="645">
          <cell r="C645" t="str">
            <v>GARCIA RAMOS SEGUNDO MIGUEL</v>
          </cell>
          <cell r="D645">
            <v>46166</v>
          </cell>
          <cell r="E645" t="str">
            <v>DR</v>
          </cell>
          <cell r="H645" t="str">
            <v>D. Remunerado</v>
          </cell>
        </row>
        <row r="646">
          <cell r="C646" t="str">
            <v>GARCIA RAMOS SEGUNDO MIGUEL</v>
          </cell>
          <cell r="D646">
            <v>46167</v>
          </cell>
          <cell r="E646" t="str">
            <v>A</v>
          </cell>
          <cell r="H646" t="str">
            <v>Asistencia</v>
          </cell>
        </row>
        <row r="647">
          <cell r="C647" t="str">
            <v>GARCIA RAMOS SEGUNDO MIGUEL</v>
          </cell>
          <cell r="D647">
            <v>46168</v>
          </cell>
          <cell r="E647" t="str">
            <v>A</v>
          </cell>
          <cell r="H647" t="str">
            <v>Asistencia</v>
          </cell>
        </row>
        <row r="648">
          <cell r="C648" t="str">
            <v>GARCIA RAMOS SEGUNDO MIGUEL</v>
          </cell>
          <cell r="D648">
            <v>46169</v>
          </cell>
          <cell r="E648" t="str">
            <v>A</v>
          </cell>
          <cell r="H648" t="str">
            <v>Asistencia</v>
          </cell>
        </row>
        <row r="649">
          <cell r="C649" t="str">
            <v>GARCIA RAMOS SEGUNDO MIGUEL</v>
          </cell>
          <cell r="D649">
            <v>46170</v>
          </cell>
          <cell r="E649" t="str">
            <v>A</v>
          </cell>
          <cell r="H649" t="str">
            <v>Asistencia</v>
          </cell>
        </row>
        <row r="650">
          <cell r="C650" t="str">
            <v>GARCIA RAMOS SEGUNDO MIGUEL</v>
          </cell>
          <cell r="D650">
            <v>46171</v>
          </cell>
          <cell r="E650" t="str">
            <v>A</v>
          </cell>
          <cell r="H650" t="str">
            <v>Asistencia</v>
          </cell>
        </row>
        <row r="651">
          <cell r="C651" t="str">
            <v>GARCIA RAMOS SEGUNDO MIGUEL</v>
          </cell>
          <cell r="D651">
            <v>46172</v>
          </cell>
          <cell r="E651" t="str">
            <v>A</v>
          </cell>
          <cell r="H651" t="str">
            <v>Asistencia</v>
          </cell>
        </row>
        <row r="652">
          <cell r="C652" t="str">
            <v>GARCIA RAMOS SEGUNDO MIGUEL</v>
          </cell>
          <cell r="D652">
            <v>46173</v>
          </cell>
          <cell r="E652" t="str">
            <v>DR</v>
          </cell>
          <cell r="H652" t="str">
            <v>D. Remunerado</v>
          </cell>
        </row>
        <row r="653">
          <cell r="C653" t="str">
            <v>CHUICA ADANAQUE ANDERSON XAVIER</v>
          </cell>
          <cell r="D653">
            <v>46143</v>
          </cell>
          <cell r="E653" t="str">
            <v>N/A</v>
          </cell>
          <cell r="H653" t="str">
            <v>No Remunerado</v>
          </cell>
        </row>
        <row r="654">
          <cell r="C654" t="str">
            <v>CHUICA ADANAQUE ANDERSON XAVIER</v>
          </cell>
          <cell r="D654">
            <v>46144</v>
          </cell>
          <cell r="E654" t="str">
            <v>N/A</v>
          </cell>
          <cell r="H654" t="str">
            <v>No Remunerado</v>
          </cell>
        </row>
        <row r="655">
          <cell r="C655" t="str">
            <v>CHUICA ADANAQUE ANDERSON XAVIER</v>
          </cell>
          <cell r="D655">
            <v>46145</v>
          </cell>
          <cell r="E655" t="str">
            <v>N/A</v>
          </cell>
          <cell r="H655" t="str">
            <v>No Remunerado</v>
          </cell>
        </row>
        <row r="656">
          <cell r="C656" t="str">
            <v>CHUICA ADANAQUE ANDERSON XAVIER</v>
          </cell>
          <cell r="D656">
            <v>46146</v>
          </cell>
          <cell r="E656" t="str">
            <v>A</v>
          </cell>
          <cell r="H656" t="str">
            <v>Asistencia</v>
          </cell>
        </row>
        <row r="657">
          <cell r="C657" t="str">
            <v>CHUICA ADANAQUE ANDERSON XAVIER</v>
          </cell>
          <cell r="D657">
            <v>46147</v>
          </cell>
          <cell r="E657" t="str">
            <v>A</v>
          </cell>
          <cell r="H657" t="str">
            <v>Asistencia</v>
          </cell>
        </row>
        <row r="658">
          <cell r="C658" t="str">
            <v>CHUICA ADANAQUE ANDERSON XAVIER</v>
          </cell>
          <cell r="D658">
            <v>46148</v>
          </cell>
          <cell r="E658" t="str">
            <v>A</v>
          </cell>
          <cell r="H658" t="str">
            <v>Asistencia</v>
          </cell>
        </row>
        <row r="659">
          <cell r="C659" t="str">
            <v>CHUICA ADANAQUE ANDERSON XAVIER</v>
          </cell>
          <cell r="D659">
            <v>46149</v>
          </cell>
          <cell r="E659" t="str">
            <v>A</v>
          </cell>
          <cell r="H659" t="str">
            <v>Asistencia</v>
          </cell>
        </row>
        <row r="660">
          <cell r="C660" t="str">
            <v>CHUICA ADANAQUE ANDERSON XAVIER</v>
          </cell>
          <cell r="D660">
            <v>46150</v>
          </cell>
          <cell r="E660" t="str">
            <v>A</v>
          </cell>
          <cell r="H660" t="str">
            <v>Asistencia</v>
          </cell>
        </row>
        <row r="661">
          <cell r="C661" t="str">
            <v>CHUICA ADANAQUE ANDERSON XAVIER</v>
          </cell>
          <cell r="D661">
            <v>46151</v>
          </cell>
          <cell r="E661" t="str">
            <v>A</v>
          </cell>
          <cell r="H661" t="str">
            <v>Asistencia</v>
          </cell>
        </row>
        <row r="662">
          <cell r="C662" t="str">
            <v>CHUICA ADANAQUE ANDERSON XAVIER</v>
          </cell>
          <cell r="D662">
            <v>46152</v>
          </cell>
          <cell r="E662" t="str">
            <v>DR</v>
          </cell>
          <cell r="H662" t="str">
            <v>D. Remunerado</v>
          </cell>
        </row>
        <row r="663">
          <cell r="C663" t="str">
            <v>CHUICA ADANAQUE ANDERSON XAVIER</v>
          </cell>
          <cell r="D663">
            <v>46153</v>
          </cell>
          <cell r="E663" t="str">
            <v>A</v>
          </cell>
          <cell r="H663" t="str">
            <v>Asistencia</v>
          </cell>
        </row>
        <row r="664">
          <cell r="C664" t="str">
            <v>CHUICA ADANAQUE ANDERSON XAVIER</v>
          </cell>
          <cell r="D664">
            <v>46154</v>
          </cell>
          <cell r="E664" t="str">
            <v>A</v>
          </cell>
          <cell r="H664" t="str">
            <v>Asistencia</v>
          </cell>
        </row>
        <row r="665">
          <cell r="C665" t="str">
            <v>CHUICA ADANAQUE ANDERSON XAVIER</v>
          </cell>
          <cell r="D665">
            <v>46155</v>
          </cell>
          <cell r="E665" t="str">
            <v>A</v>
          </cell>
          <cell r="H665" t="str">
            <v>Asistencia</v>
          </cell>
        </row>
        <row r="666">
          <cell r="C666" t="str">
            <v>CHUICA ADANAQUE ANDERSON XAVIER</v>
          </cell>
          <cell r="D666">
            <v>46156</v>
          </cell>
          <cell r="E666" t="str">
            <v>A</v>
          </cell>
          <cell r="H666" t="str">
            <v>Asistencia</v>
          </cell>
        </row>
        <row r="667">
          <cell r="C667" t="str">
            <v>CHUICA ADANAQUE ANDERSON XAVIER</v>
          </cell>
          <cell r="D667">
            <v>46157</v>
          </cell>
          <cell r="E667" t="str">
            <v>A</v>
          </cell>
          <cell r="H667" t="str">
            <v>Asistencia</v>
          </cell>
        </row>
        <row r="668">
          <cell r="C668" t="str">
            <v>CHUICA ADANAQUE ANDERSON XAVIER</v>
          </cell>
          <cell r="D668">
            <v>46158</v>
          </cell>
          <cell r="E668" t="str">
            <v>A</v>
          </cell>
          <cell r="H668" t="str">
            <v>Asistencia</v>
          </cell>
        </row>
        <row r="669">
          <cell r="C669" t="str">
            <v>CHUICA ADANAQUE ANDERSON XAVIER</v>
          </cell>
          <cell r="D669">
            <v>46159</v>
          </cell>
          <cell r="E669" t="str">
            <v>DR</v>
          </cell>
          <cell r="H669" t="str">
            <v>D. Remunerado</v>
          </cell>
        </row>
        <row r="670">
          <cell r="C670" t="str">
            <v>CHUICA ADANAQUE ANDERSON XAVIER</v>
          </cell>
          <cell r="D670">
            <v>46160</v>
          </cell>
          <cell r="E670" t="str">
            <v>A</v>
          </cell>
          <cell r="H670" t="str">
            <v>Asistencia</v>
          </cell>
        </row>
        <row r="671">
          <cell r="C671" t="str">
            <v>CHUICA ADANAQUE ANDERSON XAVIER</v>
          </cell>
          <cell r="D671">
            <v>46161</v>
          </cell>
          <cell r="E671" t="str">
            <v>A</v>
          </cell>
          <cell r="H671" t="str">
            <v>Asistencia</v>
          </cell>
        </row>
        <row r="672">
          <cell r="C672" t="str">
            <v>CHUICA ADANAQUE ANDERSON XAVIER</v>
          </cell>
          <cell r="D672">
            <v>46162</v>
          </cell>
          <cell r="E672" t="str">
            <v>A</v>
          </cell>
          <cell r="H672" t="str">
            <v>Asistencia</v>
          </cell>
        </row>
        <row r="673">
          <cell r="C673" t="str">
            <v>CHUICA ADANAQUE ANDERSON XAVIER</v>
          </cell>
          <cell r="D673">
            <v>46163</v>
          </cell>
          <cell r="E673" t="str">
            <v>A</v>
          </cell>
          <cell r="H673" t="str">
            <v>Asistencia</v>
          </cell>
        </row>
        <row r="674">
          <cell r="C674" t="str">
            <v>CHUICA ADANAQUE ANDERSON XAVIER</v>
          </cell>
          <cell r="D674">
            <v>46164</v>
          </cell>
          <cell r="E674" t="str">
            <v>A</v>
          </cell>
          <cell r="H674" t="str">
            <v>Asistencia</v>
          </cell>
        </row>
        <row r="675">
          <cell r="C675" t="str">
            <v>CHUICA ADANAQUE ANDERSON XAVIER</v>
          </cell>
          <cell r="D675">
            <v>46165</v>
          </cell>
          <cell r="E675" t="str">
            <v>A</v>
          </cell>
          <cell r="H675" t="str">
            <v>Asistencia</v>
          </cell>
        </row>
        <row r="676">
          <cell r="C676" t="str">
            <v>CHUICA ADANAQUE ANDERSON XAVIER</v>
          </cell>
          <cell r="D676">
            <v>46166</v>
          </cell>
          <cell r="E676" t="str">
            <v>DR</v>
          </cell>
          <cell r="H676" t="str">
            <v>D. Remunerado</v>
          </cell>
        </row>
        <row r="677">
          <cell r="C677" t="str">
            <v>CHUICA ADANAQUE ANDERSON XAVIER</v>
          </cell>
          <cell r="D677">
            <v>46167</v>
          </cell>
          <cell r="E677" t="str">
            <v>A</v>
          </cell>
          <cell r="H677" t="str">
            <v>Asistencia</v>
          </cell>
        </row>
        <row r="678">
          <cell r="C678" t="str">
            <v>CHUICA ADANAQUE ANDERSON XAVIER</v>
          </cell>
          <cell r="D678">
            <v>46168</v>
          </cell>
          <cell r="E678" t="str">
            <v>A</v>
          </cell>
          <cell r="H678" t="str">
            <v>Asistencia</v>
          </cell>
        </row>
        <row r="679">
          <cell r="C679" t="str">
            <v>CHUICA ADANAQUE ANDERSON XAVIER</v>
          </cell>
          <cell r="D679">
            <v>46169</v>
          </cell>
          <cell r="E679" t="str">
            <v>A</v>
          </cell>
          <cell r="H679" t="str">
            <v>Asistencia</v>
          </cell>
        </row>
        <row r="680">
          <cell r="C680" t="str">
            <v>CHUICA ADANAQUE ANDERSON XAVIER</v>
          </cell>
          <cell r="D680">
            <v>46170</v>
          </cell>
          <cell r="E680" t="str">
            <v>A</v>
          </cell>
          <cell r="H680" t="str">
            <v>Asistencia</v>
          </cell>
        </row>
        <row r="681">
          <cell r="C681" t="str">
            <v>CHUICA ADANAQUE ANDERSON XAVIER</v>
          </cell>
          <cell r="D681">
            <v>46171</v>
          </cell>
          <cell r="E681" t="str">
            <v>A</v>
          </cell>
          <cell r="H681" t="str">
            <v>Asistencia</v>
          </cell>
        </row>
        <row r="682">
          <cell r="C682" t="str">
            <v>CHUICA ADANAQUE ANDERSON XAVIER</v>
          </cell>
          <cell r="D682">
            <v>46172</v>
          </cell>
          <cell r="E682" t="str">
            <v>A</v>
          </cell>
          <cell r="H682" t="str">
            <v>Asistencia</v>
          </cell>
        </row>
        <row r="683">
          <cell r="C683" t="str">
            <v>CHUICA ADANAQUE ANDERSON XAVIER</v>
          </cell>
          <cell r="D683">
            <v>46173</v>
          </cell>
          <cell r="E683" t="str">
            <v>DR</v>
          </cell>
          <cell r="H683" t="str">
            <v>D. Remunerado</v>
          </cell>
        </row>
        <row r="684">
          <cell r="C684" t="str">
            <v>FARROÑAN YOVERA LUIS ALBERTO</v>
          </cell>
          <cell r="D684">
            <v>46143</v>
          </cell>
          <cell r="E684" t="str">
            <v>A</v>
          </cell>
          <cell r="H684" t="str">
            <v>Asistencia</v>
          </cell>
        </row>
        <row r="685">
          <cell r="C685" t="str">
            <v>FARROÑAN YOVERA LUIS ALBERTO</v>
          </cell>
          <cell r="D685">
            <v>46144</v>
          </cell>
          <cell r="E685" t="str">
            <v>DNR</v>
          </cell>
          <cell r="H685" t="str">
            <v>No Remunerado</v>
          </cell>
        </row>
        <row r="686">
          <cell r="C686" t="str">
            <v>FARROÑAN YOVERA LUIS ALBERTO</v>
          </cell>
          <cell r="D686">
            <v>46145</v>
          </cell>
          <cell r="E686" t="str">
            <v>DNR</v>
          </cell>
          <cell r="H686" t="str">
            <v>No Remunerado</v>
          </cell>
        </row>
        <row r="687">
          <cell r="C687" t="str">
            <v>FARROÑAN YOVERA LUIS ALBERTO</v>
          </cell>
          <cell r="D687">
            <v>46146</v>
          </cell>
          <cell r="E687" t="str">
            <v>A</v>
          </cell>
          <cell r="H687" t="str">
            <v>Asistencia</v>
          </cell>
        </row>
        <row r="688">
          <cell r="C688" t="str">
            <v>FARROÑAN YOVERA LUIS ALBERTO</v>
          </cell>
          <cell r="D688">
            <v>46147</v>
          </cell>
          <cell r="E688" t="str">
            <v>A</v>
          </cell>
          <cell r="H688" t="str">
            <v>Asistencia</v>
          </cell>
        </row>
        <row r="689">
          <cell r="C689" t="str">
            <v>FARROÑAN YOVERA LUIS ALBERTO</v>
          </cell>
          <cell r="D689">
            <v>46148</v>
          </cell>
          <cell r="E689" t="str">
            <v>A</v>
          </cell>
          <cell r="H689" t="str">
            <v>Asistencia</v>
          </cell>
        </row>
        <row r="690">
          <cell r="C690" t="str">
            <v>FARROÑAN YOVERA LUIS ALBERTO</v>
          </cell>
          <cell r="D690">
            <v>46149</v>
          </cell>
          <cell r="E690" t="str">
            <v>A</v>
          </cell>
          <cell r="H690" t="str">
            <v>Asistencia</v>
          </cell>
        </row>
        <row r="691">
          <cell r="C691" t="str">
            <v>FARROÑAN YOVERA LUIS ALBERTO</v>
          </cell>
          <cell r="D691">
            <v>46150</v>
          </cell>
          <cell r="E691" t="str">
            <v>A</v>
          </cell>
          <cell r="H691" t="str">
            <v>Asistencia</v>
          </cell>
        </row>
        <row r="692">
          <cell r="C692" t="str">
            <v>FARROÑAN YOVERA LUIS ALBERTO</v>
          </cell>
          <cell r="D692">
            <v>46151</v>
          </cell>
          <cell r="E692" t="str">
            <v>A</v>
          </cell>
          <cell r="H692" t="str">
            <v>Asistencia</v>
          </cell>
        </row>
        <row r="693">
          <cell r="C693" t="str">
            <v>FARROÑAN YOVERA LUIS ALBERTO</v>
          </cell>
          <cell r="D693">
            <v>46152</v>
          </cell>
          <cell r="E693" t="str">
            <v>DR</v>
          </cell>
          <cell r="H693" t="str">
            <v>D. Remunerado</v>
          </cell>
        </row>
        <row r="694">
          <cell r="C694" t="str">
            <v>FARROÑAN YOVERA LUIS ALBERTO</v>
          </cell>
          <cell r="D694">
            <v>46153</v>
          </cell>
          <cell r="E694" t="str">
            <v>F</v>
          </cell>
          <cell r="H694" t="str">
            <v>Falta</v>
          </cell>
        </row>
        <row r="695">
          <cell r="C695" t="str">
            <v>FARROÑAN YOVERA LUIS ALBERTO</v>
          </cell>
          <cell r="D695">
            <v>46154</v>
          </cell>
          <cell r="E695" t="str">
            <v>A</v>
          </cell>
          <cell r="H695" t="str">
            <v>Asistencia</v>
          </cell>
        </row>
        <row r="696">
          <cell r="C696" t="str">
            <v>FARROÑAN YOVERA LUIS ALBERTO</v>
          </cell>
          <cell r="D696">
            <v>46155</v>
          </cell>
          <cell r="E696" t="str">
            <v>A</v>
          </cell>
          <cell r="H696" t="str">
            <v>Asistencia</v>
          </cell>
        </row>
        <row r="697">
          <cell r="C697" t="str">
            <v>FARROÑAN YOVERA LUIS ALBERTO</v>
          </cell>
          <cell r="D697">
            <v>46156</v>
          </cell>
          <cell r="E697" t="str">
            <v>A</v>
          </cell>
          <cell r="H697" t="str">
            <v>Asistencia</v>
          </cell>
        </row>
        <row r="698">
          <cell r="C698" t="str">
            <v>FARROÑAN YOVERA LUIS ALBERTO</v>
          </cell>
          <cell r="D698">
            <v>46157</v>
          </cell>
          <cell r="E698" t="str">
            <v>A</v>
          </cell>
          <cell r="H698" t="str">
            <v>Asistencia</v>
          </cell>
        </row>
        <row r="699">
          <cell r="C699" t="str">
            <v>FARROÑAN YOVERA LUIS ALBERTO</v>
          </cell>
          <cell r="D699">
            <v>46158</v>
          </cell>
          <cell r="E699" t="str">
            <v>A</v>
          </cell>
          <cell r="H699" t="str">
            <v>Asistencia</v>
          </cell>
        </row>
        <row r="700">
          <cell r="C700" t="str">
            <v>FARROÑAN YOVERA LUIS ALBERTO</v>
          </cell>
          <cell r="D700">
            <v>46159</v>
          </cell>
          <cell r="E700" t="str">
            <v>DR</v>
          </cell>
          <cell r="H700" t="str">
            <v>D. Remunerado</v>
          </cell>
        </row>
        <row r="701">
          <cell r="C701" t="str">
            <v>FARROÑAN YOVERA LUIS ALBERTO</v>
          </cell>
          <cell r="D701">
            <v>46160</v>
          </cell>
          <cell r="E701" t="str">
            <v>A</v>
          </cell>
          <cell r="H701" t="str">
            <v>Asistencia</v>
          </cell>
        </row>
        <row r="702">
          <cell r="C702" t="str">
            <v>FARROÑAN YOVERA LUIS ALBERTO</v>
          </cell>
          <cell r="D702">
            <v>46161</v>
          </cell>
          <cell r="E702" t="str">
            <v>A</v>
          </cell>
          <cell r="H702" t="str">
            <v>Asistencia</v>
          </cell>
        </row>
        <row r="703">
          <cell r="C703" t="str">
            <v>FARROÑAN YOVERA LUIS ALBERTO</v>
          </cell>
          <cell r="D703">
            <v>46162</v>
          </cell>
          <cell r="E703" t="str">
            <v>A</v>
          </cell>
          <cell r="H703" t="str">
            <v>Asistencia</v>
          </cell>
        </row>
        <row r="704">
          <cell r="C704" t="str">
            <v>FARROÑAN YOVERA LUIS ALBERTO</v>
          </cell>
          <cell r="D704">
            <v>46163</v>
          </cell>
          <cell r="E704" t="str">
            <v>A</v>
          </cell>
          <cell r="H704" t="str">
            <v>Asistencia</v>
          </cell>
        </row>
        <row r="705">
          <cell r="C705" t="str">
            <v>FARROÑAN YOVERA LUIS ALBERTO</v>
          </cell>
          <cell r="D705">
            <v>46164</v>
          </cell>
          <cell r="E705" t="str">
            <v>A</v>
          </cell>
          <cell r="H705" t="str">
            <v>Asistencia</v>
          </cell>
        </row>
        <row r="706">
          <cell r="C706" t="str">
            <v>FARROÑAN YOVERA LUIS ALBERTO</v>
          </cell>
          <cell r="D706">
            <v>46165</v>
          </cell>
          <cell r="E706" t="str">
            <v>A</v>
          </cell>
          <cell r="H706" t="str">
            <v>Asistencia</v>
          </cell>
        </row>
        <row r="707">
          <cell r="C707" t="str">
            <v>FARROÑAN YOVERA LUIS ALBERTO</v>
          </cell>
          <cell r="D707">
            <v>46166</v>
          </cell>
          <cell r="E707" t="str">
            <v>DR</v>
          </cell>
          <cell r="H707" t="str">
            <v>D. Remunerado</v>
          </cell>
        </row>
        <row r="708">
          <cell r="C708" t="str">
            <v>FARROÑAN YOVERA LUIS ALBERTO</v>
          </cell>
          <cell r="D708">
            <v>46167</v>
          </cell>
          <cell r="E708" t="str">
            <v>A</v>
          </cell>
          <cell r="H708" t="str">
            <v>Asistencia</v>
          </cell>
        </row>
        <row r="709">
          <cell r="C709" t="str">
            <v>FARROÑAN YOVERA LUIS ALBERTO</v>
          </cell>
          <cell r="D709">
            <v>46168</v>
          </cell>
          <cell r="E709" t="str">
            <v>A</v>
          </cell>
          <cell r="H709" t="str">
            <v>Asistencia</v>
          </cell>
        </row>
        <row r="710">
          <cell r="C710" t="str">
            <v>FARROÑAN YOVERA LUIS ALBERTO</v>
          </cell>
          <cell r="D710">
            <v>46169</v>
          </cell>
          <cell r="E710" t="str">
            <v>A</v>
          </cell>
          <cell r="H710" t="str">
            <v>Asistencia</v>
          </cell>
        </row>
        <row r="711">
          <cell r="C711" t="str">
            <v>FARROÑAN YOVERA LUIS ALBERTO</v>
          </cell>
          <cell r="D711">
            <v>46170</v>
          </cell>
          <cell r="E711" t="str">
            <v>A</v>
          </cell>
          <cell r="H711" t="str">
            <v>Asistencia</v>
          </cell>
        </row>
        <row r="712">
          <cell r="C712" t="str">
            <v>FARROÑAN YOVERA LUIS ALBERTO</v>
          </cell>
          <cell r="D712">
            <v>46171</v>
          </cell>
          <cell r="E712" t="str">
            <v>A</v>
          </cell>
          <cell r="H712" t="str">
            <v>Asistencia</v>
          </cell>
        </row>
        <row r="713">
          <cell r="C713" t="str">
            <v>FARROÑAN YOVERA LUIS ALBERTO</v>
          </cell>
          <cell r="D713">
            <v>46172</v>
          </cell>
          <cell r="E713" t="str">
            <v>A</v>
          </cell>
          <cell r="H713" t="str">
            <v>Asistencia</v>
          </cell>
        </row>
        <row r="714">
          <cell r="C714" t="str">
            <v>FARROÑAN YOVERA LUIS ALBERTO</v>
          </cell>
          <cell r="D714">
            <v>46173</v>
          </cell>
          <cell r="E714" t="str">
            <v>DR</v>
          </cell>
          <cell r="H714" t="str">
            <v>D. Remunerado</v>
          </cell>
        </row>
        <row r="715">
          <cell r="C715" t="str">
            <v>HERNANDEZ GOMEZ LUIS JHONATAN</v>
          </cell>
          <cell r="D715">
            <v>46143</v>
          </cell>
          <cell r="E715" t="str">
            <v>N/A</v>
          </cell>
          <cell r="H715" t="str">
            <v>No Remunerado</v>
          </cell>
        </row>
        <row r="716">
          <cell r="C716" t="str">
            <v>HERNANDEZ GOMEZ LUIS JHONATAN</v>
          </cell>
          <cell r="D716">
            <v>46144</v>
          </cell>
          <cell r="E716" t="str">
            <v>N/A</v>
          </cell>
          <cell r="H716" t="str">
            <v>No Remunerado</v>
          </cell>
        </row>
        <row r="717">
          <cell r="C717" t="str">
            <v>HERNANDEZ GOMEZ LUIS JHONATAN</v>
          </cell>
          <cell r="D717">
            <v>46145</v>
          </cell>
          <cell r="E717" t="str">
            <v>N/A</v>
          </cell>
          <cell r="H717" t="str">
            <v>No Remunerado</v>
          </cell>
        </row>
        <row r="718">
          <cell r="C718" t="str">
            <v>HERNANDEZ GOMEZ LUIS JHONATAN</v>
          </cell>
          <cell r="D718">
            <v>46146</v>
          </cell>
          <cell r="E718" t="str">
            <v>N/A</v>
          </cell>
          <cell r="H718" t="str">
            <v>No Remunerado</v>
          </cell>
        </row>
        <row r="719">
          <cell r="C719" t="str">
            <v>HERNANDEZ GOMEZ LUIS JHONATAN</v>
          </cell>
          <cell r="D719">
            <v>46147</v>
          </cell>
          <cell r="E719" t="str">
            <v>N/A</v>
          </cell>
          <cell r="H719" t="str">
            <v>No Remunerado</v>
          </cell>
        </row>
        <row r="720">
          <cell r="C720" t="str">
            <v>HERNANDEZ GOMEZ LUIS JHONATAN</v>
          </cell>
          <cell r="D720">
            <v>46148</v>
          </cell>
          <cell r="E720" t="str">
            <v>N/A</v>
          </cell>
          <cell r="H720" t="str">
            <v>No Remunerado</v>
          </cell>
        </row>
        <row r="721">
          <cell r="C721" t="str">
            <v>HERNANDEZ GOMEZ LUIS JHONATAN</v>
          </cell>
          <cell r="D721">
            <v>46149</v>
          </cell>
          <cell r="E721" t="str">
            <v>N/A</v>
          </cell>
          <cell r="H721" t="str">
            <v>No Remunerado</v>
          </cell>
        </row>
        <row r="722">
          <cell r="C722" t="str">
            <v>HERNANDEZ GOMEZ LUIS JHONATAN</v>
          </cell>
          <cell r="D722">
            <v>46150</v>
          </cell>
          <cell r="E722" t="str">
            <v>N/A</v>
          </cell>
          <cell r="H722" t="str">
            <v>No Remunerado</v>
          </cell>
        </row>
        <row r="723">
          <cell r="C723" t="str">
            <v>HERNANDEZ GOMEZ LUIS JHONATAN</v>
          </cell>
          <cell r="D723">
            <v>46151</v>
          </cell>
          <cell r="E723" t="str">
            <v>N/A</v>
          </cell>
          <cell r="H723" t="str">
            <v>No Remunerado</v>
          </cell>
        </row>
        <row r="724">
          <cell r="C724" t="str">
            <v>HERNANDEZ GOMEZ LUIS JHONATAN</v>
          </cell>
          <cell r="D724">
            <v>46152</v>
          </cell>
          <cell r="E724" t="str">
            <v>N/A</v>
          </cell>
          <cell r="H724" t="str">
            <v>No Remunerado</v>
          </cell>
        </row>
        <row r="725">
          <cell r="C725" t="str">
            <v>HERNANDEZ GOMEZ LUIS JHONATAN</v>
          </cell>
          <cell r="D725">
            <v>46153</v>
          </cell>
          <cell r="E725" t="str">
            <v>A</v>
          </cell>
          <cell r="H725" t="str">
            <v>Asistencia</v>
          </cell>
        </row>
        <row r="726">
          <cell r="C726" t="str">
            <v>HERNANDEZ GOMEZ LUIS JHONATAN</v>
          </cell>
          <cell r="D726">
            <v>46154</v>
          </cell>
          <cell r="E726" t="str">
            <v>A</v>
          </cell>
          <cell r="H726" t="str">
            <v>Asistencia</v>
          </cell>
        </row>
        <row r="727">
          <cell r="C727" t="str">
            <v>HERNANDEZ GOMEZ LUIS JHONATAN</v>
          </cell>
          <cell r="D727">
            <v>46155</v>
          </cell>
          <cell r="E727" t="str">
            <v>A</v>
          </cell>
          <cell r="H727" t="str">
            <v>Asistencia</v>
          </cell>
        </row>
        <row r="728">
          <cell r="C728" t="str">
            <v>HERNANDEZ GOMEZ LUIS JHONATAN</v>
          </cell>
          <cell r="D728">
            <v>46156</v>
          </cell>
          <cell r="E728" t="str">
            <v>A</v>
          </cell>
          <cell r="H728" t="str">
            <v>Asistencia</v>
          </cell>
        </row>
        <row r="729">
          <cell r="C729" t="str">
            <v>HERNANDEZ GOMEZ LUIS JHONATAN</v>
          </cell>
          <cell r="D729">
            <v>46157</v>
          </cell>
          <cell r="E729" t="str">
            <v>A</v>
          </cell>
          <cell r="H729" t="str">
            <v>Asistencia</v>
          </cell>
        </row>
        <row r="730">
          <cell r="C730" t="str">
            <v>HERNANDEZ GOMEZ LUIS JHONATAN</v>
          </cell>
          <cell r="D730">
            <v>46158</v>
          </cell>
          <cell r="E730" t="str">
            <v>A</v>
          </cell>
          <cell r="H730" t="str">
            <v>Asistencia</v>
          </cell>
        </row>
        <row r="731">
          <cell r="C731" t="str">
            <v>HERNANDEZ GOMEZ LUIS JHONATAN</v>
          </cell>
          <cell r="D731">
            <v>46159</v>
          </cell>
          <cell r="E731" t="str">
            <v>DR</v>
          </cell>
          <cell r="H731" t="str">
            <v>D. Remunerado</v>
          </cell>
        </row>
        <row r="732">
          <cell r="C732" t="str">
            <v>HERNANDEZ GOMEZ LUIS JHONATAN</v>
          </cell>
          <cell r="D732">
            <v>46160</v>
          </cell>
          <cell r="E732" t="str">
            <v>A</v>
          </cell>
          <cell r="H732" t="str">
            <v>Asistencia</v>
          </cell>
        </row>
        <row r="733">
          <cell r="C733" t="str">
            <v>HERNANDEZ GOMEZ LUIS JHONATAN</v>
          </cell>
          <cell r="D733">
            <v>46161</v>
          </cell>
          <cell r="E733" t="str">
            <v>A</v>
          </cell>
          <cell r="H733" t="str">
            <v>Asistencia</v>
          </cell>
        </row>
        <row r="734">
          <cell r="C734" t="str">
            <v>HERNANDEZ GOMEZ LUIS JHONATAN</v>
          </cell>
          <cell r="D734">
            <v>46162</v>
          </cell>
          <cell r="E734" t="str">
            <v>A</v>
          </cell>
          <cell r="H734" t="str">
            <v>Asistencia</v>
          </cell>
        </row>
        <row r="735">
          <cell r="C735" t="str">
            <v>HERNANDEZ GOMEZ LUIS JHONATAN</v>
          </cell>
          <cell r="D735">
            <v>46163</v>
          </cell>
          <cell r="E735" t="str">
            <v>A</v>
          </cell>
          <cell r="H735" t="str">
            <v>Asistencia</v>
          </cell>
        </row>
        <row r="736">
          <cell r="C736" t="str">
            <v>HERNANDEZ GOMEZ LUIS JHONATAN</v>
          </cell>
          <cell r="D736">
            <v>46164</v>
          </cell>
          <cell r="E736" t="str">
            <v>A</v>
          </cell>
          <cell r="H736" t="str">
            <v>Asistencia</v>
          </cell>
        </row>
        <row r="737">
          <cell r="C737" t="str">
            <v>HERNANDEZ GOMEZ LUIS JHONATAN</v>
          </cell>
          <cell r="D737">
            <v>46165</v>
          </cell>
          <cell r="E737" t="str">
            <v>A</v>
          </cell>
          <cell r="H737" t="str">
            <v>Asistencia</v>
          </cell>
        </row>
        <row r="738">
          <cell r="C738" t="str">
            <v>HERNANDEZ GOMEZ LUIS JHONATAN</v>
          </cell>
          <cell r="D738">
            <v>46166</v>
          </cell>
          <cell r="E738" t="str">
            <v>DR</v>
          </cell>
          <cell r="H738" t="str">
            <v>D. Remunerado</v>
          </cell>
        </row>
        <row r="739">
          <cell r="C739" t="str">
            <v>HERNANDEZ GOMEZ LUIS JHONATAN</v>
          </cell>
          <cell r="D739">
            <v>46167</v>
          </cell>
          <cell r="E739" t="str">
            <v>A</v>
          </cell>
          <cell r="H739" t="str">
            <v>Asistencia</v>
          </cell>
        </row>
        <row r="740">
          <cell r="C740" t="str">
            <v>HERNANDEZ GOMEZ LUIS JHONATAN</v>
          </cell>
          <cell r="D740">
            <v>46168</v>
          </cell>
          <cell r="E740" t="str">
            <v>A</v>
          </cell>
          <cell r="H740" t="str">
            <v>Asistencia</v>
          </cell>
        </row>
        <row r="741">
          <cell r="C741" t="str">
            <v>HERNANDEZ GOMEZ LUIS JHONATAN</v>
          </cell>
          <cell r="D741">
            <v>46169</v>
          </cell>
          <cell r="E741" t="str">
            <v>A</v>
          </cell>
          <cell r="H741" t="str">
            <v>Asistencia</v>
          </cell>
        </row>
        <row r="742">
          <cell r="C742" t="str">
            <v>HERNANDEZ GOMEZ LUIS JHONATAN</v>
          </cell>
          <cell r="D742">
            <v>46170</v>
          </cell>
          <cell r="E742" t="str">
            <v>A</v>
          </cell>
          <cell r="H742" t="str">
            <v>Asistencia</v>
          </cell>
        </row>
        <row r="743">
          <cell r="C743" t="str">
            <v>HERNANDEZ GOMEZ LUIS JHONATAN</v>
          </cell>
          <cell r="D743">
            <v>46171</v>
          </cell>
          <cell r="E743" t="str">
            <v>A</v>
          </cell>
          <cell r="H743" t="str">
            <v>Asistencia</v>
          </cell>
        </row>
        <row r="744">
          <cell r="C744" t="str">
            <v>HERNANDEZ GOMEZ LUIS JHONATAN</v>
          </cell>
          <cell r="D744">
            <v>46172</v>
          </cell>
          <cell r="E744" t="str">
            <v>A</v>
          </cell>
          <cell r="H744" t="str">
            <v>Asistencia</v>
          </cell>
        </row>
        <row r="745">
          <cell r="C745" t="str">
            <v>HERNANDEZ GOMEZ LUIS JHONATAN</v>
          </cell>
          <cell r="D745">
            <v>46173</v>
          </cell>
          <cell r="E745" t="str">
            <v>DR</v>
          </cell>
          <cell r="H745" t="str">
            <v>D. Remunerado</v>
          </cell>
        </row>
        <row r="746">
          <cell r="C746" t="str">
            <v>CARLOS ROQUE JUNIOR ABEL</v>
          </cell>
          <cell r="D746">
            <v>46143</v>
          </cell>
          <cell r="E746" t="str">
            <v>N/A</v>
          </cell>
          <cell r="H746" t="str">
            <v>No Remunerado</v>
          </cell>
        </row>
        <row r="747">
          <cell r="C747" t="str">
            <v>CARLOS ROQUE JUNIOR ABEL</v>
          </cell>
          <cell r="D747">
            <v>46144</v>
          </cell>
          <cell r="E747" t="str">
            <v>N/A</v>
          </cell>
          <cell r="H747" t="str">
            <v>No Remunerado</v>
          </cell>
        </row>
        <row r="748">
          <cell r="C748" t="str">
            <v>CARLOS ROQUE JUNIOR ABEL</v>
          </cell>
          <cell r="D748">
            <v>46145</v>
          </cell>
          <cell r="E748" t="str">
            <v>N/A</v>
          </cell>
          <cell r="H748" t="str">
            <v>No Remunerado</v>
          </cell>
        </row>
        <row r="749">
          <cell r="C749" t="str">
            <v>CARLOS ROQUE JUNIOR ABEL</v>
          </cell>
          <cell r="D749">
            <v>46146</v>
          </cell>
          <cell r="E749" t="str">
            <v>A</v>
          </cell>
          <cell r="H749" t="str">
            <v>Asistencia</v>
          </cell>
        </row>
        <row r="750">
          <cell r="C750" t="str">
            <v>CARLOS ROQUE JUNIOR ABEL</v>
          </cell>
          <cell r="D750">
            <v>46147</v>
          </cell>
          <cell r="E750" t="str">
            <v>A</v>
          </cell>
          <cell r="H750" t="str">
            <v>Asistencia</v>
          </cell>
        </row>
        <row r="751">
          <cell r="C751" t="str">
            <v>CARLOS ROQUE JUNIOR ABEL</v>
          </cell>
          <cell r="D751">
            <v>46148</v>
          </cell>
          <cell r="E751" t="str">
            <v>A</v>
          </cell>
          <cell r="H751" t="str">
            <v>Asistencia</v>
          </cell>
        </row>
        <row r="752">
          <cell r="C752" t="str">
            <v>CARLOS ROQUE JUNIOR ABEL</v>
          </cell>
          <cell r="D752">
            <v>46149</v>
          </cell>
          <cell r="E752" t="str">
            <v>A</v>
          </cell>
          <cell r="H752" t="str">
            <v>Asistencia</v>
          </cell>
        </row>
        <row r="753">
          <cell r="C753" t="str">
            <v>CARLOS ROQUE JUNIOR ABEL</v>
          </cell>
          <cell r="D753">
            <v>46150</v>
          </cell>
          <cell r="E753" t="str">
            <v>A</v>
          </cell>
          <cell r="H753" t="str">
            <v>Asistencia</v>
          </cell>
        </row>
        <row r="754">
          <cell r="C754" t="str">
            <v>CARLOS ROQUE JUNIOR ABEL</v>
          </cell>
          <cell r="D754">
            <v>46151</v>
          </cell>
          <cell r="E754" t="str">
            <v>A</v>
          </cell>
          <cell r="H754" t="str">
            <v>Asistencia</v>
          </cell>
        </row>
        <row r="755">
          <cell r="C755" t="str">
            <v>CARLOS ROQUE JUNIOR ABEL</v>
          </cell>
          <cell r="D755">
            <v>46152</v>
          </cell>
          <cell r="E755" t="str">
            <v>DR</v>
          </cell>
          <cell r="H755" t="str">
            <v>D. Remunerado</v>
          </cell>
        </row>
        <row r="756">
          <cell r="C756" t="str">
            <v>CARLOS ROQUE JUNIOR ABEL</v>
          </cell>
          <cell r="D756">
            <v>46153</v>
          </cell>
          <cell r="E756" t="str">
            <v>A</v>
          </cell>
          <cell r="H756" t="str">
            <v>Asistencia</v>
          </cell>
        </row>
        <row r="757">
          <cell r="C757" t="str">
            <v>CARLOS ROQUE JUNIOR ABEL</v>
          </cell>
          <cell r="D757">
            <v>46154</v>
          </cell>
          <cell r="E757" t="str">
            <v>A</v>
          </cell>
          <cell r="H757" t="str">
            <v>Asistencia</v>
          </cell>
        </row>
        <row r="758">
          <cell r="C758" t="str">
            <v>CARLOS ROQUE JUNIOR ABEL</v>
          </cell>
          <cell r="D758">
            <v>46155</v>
          </cell>
          <cell r="E758" t="str">
            <v>A</v>
          </cell>
          <cell r="H758" t="str">
            <v>Asistencia</v>
          </cell>
        </row>
        <row r="759">
          <cell r="C759" t="str">
            <v>CARLOS ROQUE JUNIOR ABEL</v>
          </cell>
          <cell r="D759">
            <v>46156</v>
          </cell>
          <cell r="E759" t="str">
            <v>A</v>
          </cell>
          <cell r="H759" t="str">
            <v>Asistencia</v>
          </cell>
        </row>
        <row r="760">
          <cell r="C760" t="str">
            <v>CARLOS ROQUE JUNIOR ABEL</v>
          </cell>
          <cell r="D760">
            <v>46157</v>
          </cell>
          <cell r="E760" t="str">
            <v>DNR</v>
          </cell>
          <cell r="H760" t="str">
            <v>No Remunerado</v>
          </cell>
        </row>
        <row r="761">
          <cell r="C761" t="str">
            <v>CARLOS ROQUE JUNIOR ABEL</v>
          </cell>
          <cell r="D761">
            <v>46158</v>
          </cell>
          <cell r="E761" t="str">
            <v>A</v>
          </cell>
          <cell r="H761" t="str">
            <v>Asistencia</v>
          </cell>
        </row>
        <row r="762">
          <cell r="C762" t="str">
            <v>CARLOS ROQUE JUNIOR ABEL</v>
          </cell>
          <cell r="D762">
            <v>46159</v>
          </cell>
          <cell r="E762" t="str">
            <v>DR</v>
          </cell>
          <cell r="H762" t="str">
            <v>D. Remunerado</v>
          </cell>
        </row>
        <row r="763">
          <cell r="C763" t="str">
            <v>CARLOS ROQUE JUNIOR ABEL</v>
          </cell>
          <cell r="D763">
            <v>46160</v>
          </cell>
          <cell r="E763" t="str">
            <v>A</v>
          </cell>
          <cell r="H763" t="str">
            <v>Asistencia</v>
          </cell>
        </row>
        <row r="764">
          <cell r="C764" t="str">
            <v>CARLOS ROQUE JUNIOR ABEL</v>
          </cell>
          <cell r="D764">
            <v>46161</v>
          </cell>
          <cell r="E764" t="str">
            <v>A</v>
          </cell>
          <cell r="H764" t="str">
            <v>Asistencia</v>
          </cell>
        </row>
        <row r="765">
          <cell r="C765" t="str">
            <v>CARLOS ROQUE JUNIOR ABEL</v>
          </cell>
          <cell r="D765">
            <v>46162</v>
          </cell>
          <cell r="E765" t="str">
            <v>A</v>
          </cell>
          <cell r="H765" t="str">
            <v>Asistencia</v>
          </cell>
        </row>
        <row r="766">
          <cell r="C766" t="str">
            <v>CARLOS ROQUE JUNIOR ABEL</v>
          </cell>
          <cell r="D766">
            <v>46163</v>
          </cell>
          <cell r="E766" t="str">
            <v>A</v>
          </cell>
          <cell r="H766" t="str">
            <v>Asistencia</v>
          </cell>
        </row>
        <row r="767">
          <cell r="C767" t="str">
            <v>CARLOS ROQUE JUNIOR ABEL</v>
          </cell>
          <cell r="D767">
            <v>46164</v>
          </cell>
          <cell r="E767" t="str">
            <v>A</v>
          </cell>
          <cell r="H767" t="str">
            <v>Asistencia</v>
          </cell>
        </row>
        <row r="768">
          <cell r="C768" t="str">
            <v>CARLOS ROQUE JUNIOR ABEL</v>
          </cell>
          <cell r="D768">
            <v>46165</v>
          </cell>
          <cell r="E768" t="str">
            <v>A</v>
          </cell>
          <cell r="H768" t="str">
            <v>Asistencia</v>
          </cell>
        </row>
        <row r="769">
          <cell r="C769" t="str">
            <v>CARLOS ROQUE JUNIOR ABEL</v>
          </cell>
          <cell r="D769">
            <v>46166</v>
          </cell>
          <cell r="E769" t="str">
            <v>DR</v>
          </cell>
          <cell r="H769" t="str">
            <v>D. Remunerado</v>
          </cell>
        </row>
        <row r="770">
          <cell r="C770" t="str">
            <v>CARLOS ROQUE JUNIOR ABEL</v>
          </cell>
          <cell r="D770">
            <v>46167</v>
          </cell>
          <cell r="E770" t="str">
            <v>A</v>
          </cell>
          <cell r="H770" t="str">
            <v>Asistencia</v>
          </cell>
        </row>
        <row r="771">
          <cell r="C771" t="str">
            <v>CARLOS ROQUE JUNIOR ABEL</v>
          </cell>
          <cell r="D771">
            <v>46168</v>
          </cell>
          <cell r="E771" t="str">
            <v>A</v>
          </cell>
          <cell r="H771" t="str">
            <v>Asistencia</v>
          </cell>
        </row>
        <row r="772">
          <cell r="C772" t="str">
            <v>CARLOS ROQUE JUNIOR ABEL</v>
          </cell>
          <cell r="D772">
            <v>46169</v>
          </cell>
          <cell r="E772" t="str">
            <v>A</v>
          </cell>
          <cell r="H772" t="str">
            <v>Asistencia</v>
          </cell>
        </row>
        <row r="773">
          <cell r="C773" t="str">
            <v>CARLOS ROQUE JUNIOR ABEL</v>
          </cell>
          <cell r="D773">
            <v>46170</v>
          </cell>
          <cell r="E773" t="str">
            <v>A</v>
          </cell>
          <cell r="H773" t="str">
            <v>Asistencia</v>
          </cell>
        </row>
        <row r="774">
          <cell r="C774" t="str">
            <v>CARLOS ROQUE JUNIOR ABEL</v>
          </cell>
          <cell r="D774">
            <v>46171</v>
          </cell>
          <cell r="E774" t="str">
            <v>A</v>
          </cell>
          <cell r="H774" t="str">
            <v>Asistencia</v>
          </cell>
        </row>
        <row r="775">
          <cell r="C775" t="str">
            <v>CARLOS ROQUE JUNIOR ABEL</v>
          </cell>
          <cell r="D775">
            <v>46172</v>
          </cell>
          <cell r="E775" t="str">
            <v>A</v>
          </cell>
          <cell r="H775" t="str">
            <v>Asistencia</v>
          </cell>
        </row>
        <row r="776">
          <cell r="C776" t="str">
            <v>CARLOS ROQUE JUNIOR ABEL</v>
          </cell>
          <cell r="D776">
            <v>46173</v>
          </cell>
          <cell r="E776" t="str">
            <v>DR</v>
          </cell>
          <cell r="H776" t="str">
            <v>D. Remunerado</v>
          </cell>
        </row>
        <row r="777">
          <cell r="C777" t="str">
            <v>CELIS NUREÑA RONNY RICARDO</v>
          </cell>
          <cell r="D777">
            <v>46143</v>
          </cell>
          <cell r="E777" t="str">
            <v>B</v>
          </cell>
          <cell r="H777" t="e">
            <v>#N/A</v>
          </cell>
        </row>
        <row r="778">
          <cell r="C778" t="str">
            <v>CELIS NUREÑA RONNY RICARDO</v>
          </cell>
          <cell r="D778">
            <v>46144</v>
          </cell>
          <cell r="E778" t="str">
            <v>B</v>
          </cell>
          <cell r="H778" t="e">
            <v>#N/A</v>
          </cell>
        </row>
        <row r="779">
          <cell r="C779" t="str">
            <v>CELIS NUREÑA RONNY RICARDO</v>
          </cell>
          <cell r="D779">
            <v>46145</v>
          </cell>
          <cell r="E779" t="str">
            <v>B</v>
          </cell>
          <cell r="H779" t="e">
            <v>#N/A</v>
          </cell>
        </row>
        <row r="780">
          <cell r="C780" t="str">
            <v>CELIS NUREÑA RONNY RICARDO</v>
          </cell>
          <cell r="D780">
            <v>46146</v>
          </cell>
          <cell r="E780" t="str">
            <v>B</v>
          </cell>
          <cell r="H780" t="e">
            <v>#N/A</v>
          </cell>
        </row>
        <row r="781">
          <cell r="C781" t="str">
            <v>CELIS NUREÑA RONNY RICARDO</v>
          </cell>
          <cell r="D781">
            <v>46147</v>
          </cell>
          <cell r="E781" t="str">
            <v>B</v>
          </cell>
          <cell r="H781" t="e">
            <v>#N/A</v>
          </cell>
        </row>
        <row r="782">
          <cell r="C782" t="str">
            <v>CELIS NUREÑA RONNY RICARDO</v>
          </cell>
          <cell r="D782">
            <v>46148</v>
          </cell>
          <cell r="E782" t="str">
            <v>B</v>
          </cell>
          <cell r="H782" t="e">
            <v>#N/A</v>
          </cell>
        </row>
        <row r="783">
          <cell r="C783" t="str">
            <v>CELIS NUREÑA RONNY RICARDO</v>
          </cell>
          <cell r="D783">
            <v>46149</v>
          </cell>
          <cell r="E783" t="str">
            <v>B</v>
          </cell>
          <cell r="H783" t="e">
            <v>#N/A</v>
          </cell>
        </row>
        <row r="784">
          <cell r="C784" t="str">
            <v>CELIS NUREÑA RONNY RICARDO</v>
          </cell>
          <cell r="D784">
            <v>46150</v>
          </cell>
          <cell r="E784" t="str">
            <v>B</v>
          </cell>
          <cell r="H784" t="e">
            <v>#N/A</v>
          </cell>
        </row>
        <row r="785">
          <cell r="C785" t="str">
            <v>CELIS NUREÑA RONNY RICARDO</v>
          </cell>
          <cell r="D785">
            <v>46151</v>
          </cell>
          <cell r="E785" t="str">
            <v>B</v>
          </cell>
          <cell r="H785" t="e">
            <v>#N/A</v>
          </cell>
        </row>
        <row r="786">
          <cell r="C786" t="str">
            <v>CELIS NUREÑA RONNY RICARDO</v>
          </cell>
          <cell r="D786">
            <v>46152</v>
          </cell>
          <cell r="E786" t="str">
            <v>B</v>
          </cell>
          <cell r="H786" t="e">
            <v>#N/A</v>
          </cell>
        </row>
        <row r="787">
          <cell r="C787" t="str">
            <v>CELIS NUREÑA RONNY RICARDO</v>
          </cell>
          <cell r="D787">
            <v>46153</v>
          </cell>
          <cell r="E787" t="str">
            <v>B</v>
          </cell>
          <cell r="H787" t="e">
            <v>#N/A</v>
          </cell>
        </row>
        <row r="788">
          <cell r="C788" t="str">
            <v>CELIS NUREÑA RONNY RICARDO</v>
          </cell>
          <cell r="D788">
            <v>46154</v>
          </cell>
          <cell r="E788" t="str">
            <v>B</v>
          </cell>
          <cell r="H788" t="e">
            <v>#N/A</v>
          </cell>
        </row>
        <row r="789">
          <cell r="C789" t="str">
            <v>CELIS NUREÑA RONNY RICARDO</v>
          </cell>
          <cell r="D789">
            <v>46155</v>
          </cell>
          <cell r="E789" t="str">
            <v>B</v>
          </cell>
          <cell r="H789" t="e">
            <v>#N/A</v>
          </cell>
        </row>
        <row r="790">
          <cell r="C790" t="str">
            <v>CELIS NUREÑA RONNY RICARDO</v>
          </cell>
          <cell r="D790">
            <v>46156</v>
          </cell>
          <cell r="E790" t="str">
            <v>B</v>
          </cell>
          <cell r="H790" t="e">
            <v>#N/A</v>
          </cell>
        </row>
        <row r="791">
          <cell r="C791" t="str">
            <v>CELIS NUREÑA RONNY RICARDO</v>
          </cell>
          <cell r="D791">
            <v>46157</v>
          </cell>
          <cell r="E791" t="str">
            <v>B</v>
          </cell>
          <cell r="H791" t="e">
            <v>#N/A</v>
          </cell>
        </row>
        <row r="792">
          <cell r="C792" t="str">
            <v>CELIS NUREÑA RONNY RICARDO</v>
          </cell>
          <cell r="D792">
            <v>46158</v>
          </cell>
          <cell r="E792" t="str">
            <v>B</v>
          </cell>
          <cell r="H792" t="e">
            <v>#N/A</v>
          </cell>
        </row>
        <row r="793">
          <cell r="C793" t="str">
            <v>CELIS NUREÑA RONNY RICARDO</v>
          </cell>
          <cell r="D793">
            <v>46159</v>
          </cell>
          <cell r="E793" t="str">
            <v>B</v>
          </cell>
          <cell r="H793" t="e">
            <v>#N/A</v>
          </cell>
        </row>
        <row r="794">
          <cell r="C794" t="str">
            <v>CELIS NUREÑA RONNY RICARDO</v>
          </cell>
          <cell r="D794">
            <v>46160</v>
          </cell>
          <cell r="E794" t="str">
            <v>B</v>
          </cell>
          <cell r="H794" t="e">
            <v>#N/A</v>
          </cell>
        </row>
        <row r="795">
          <cell r="C795" t="str">
            <v>CELIS NUREÑA RONNY RICARDO</v>
          </cell>
          <cell r="D795">
            <v>46161</v>
          </cell>
          <cell r="E795" t="str">
            <v>B</v>
          </cell>
          <cell r="H795" t="e">
            <v>#N/A</v>
          </cell>
        </row>
        <row r="796">
          <cell r="C796" t="str">
            <v>CELIS NUREÑA RONNY RICARDO</v>
          </cell>
          <cell r="D796">
            <v>46162</v>
          </cell>
          <cell r="E796" t="str">
            <v/>
          </cell>
          <cell r="H796" t="e">
            <v>#N/A</v>
          </cell>
        </row>
        <row r="797">
          <cell r="C797" t="str">
            <v>CELIS NUREÑA RONNY RICARDO</v>
          </cell>
          <cell r="D797">
            <v>46163</v>
          </cell>
          <cell r="E797" t="str">
            <v/>
          </cell>
          <cell r="H797" t="e">
            <v>#N/A</v>
          </cell>
        </row>
        <row r="798">
          <cell r="C798" t="str">
            <v>CELIS NUREÑA RONNY RICARDO</v>
          </cell>
          <cell r="D798">
            <v>46164</v>
          </cell>
          <cell r="E798" t="str">
            <v/>
          </cell>
          <cell r="H798" t="e">
            <v>#N/A</v>
          </cell>
        </row>
        <row r="799">
          <cell r="C799" t="str">
            <v>CELIS NUREÑA RONNY RICARDO</v>
          </cell>
          <cell r="D799">
            <v>46165</v>
          </cell>
          <cell r="E799" t="str">
            <v/>
          </cell>
          <cell r="H799" t="e">
            <v>#N/A</v>
          </cell>
        </row>
        <row r="800">
          <cell r="C800" t="str">
            <v>CELIS NUREÑA RONNY RICARDO</v>
          </cell>
          <cell r="D800">
            <v>46166</v>
          </cell>
          <cell r="E800" t="str">
            <v/>
          </cell>
          <cell r="H800" t="e">
            <v>#N/A</v>
          </cell>
        </row>
        <row r="801">
          <cell r="C801" t="str">
            <v>CELIS NUREÑA RONNY RICARDO</v>
          </cell>
          <cell r="D801">
            <v>46167</v>
          </cell>
          <cell r="E801" t="str">
            <v/>
          </cell>
          <cell r="H801" t="e">
            <v>#N/A</v>
          </cell>
        </row>
        <row r="802">
          <cell r="C802" t="str">
            <v>CELIS NUREÑA RONNY RICARDO</v>
          </cell>
          <cell r="D802">
            <v>46168</v>
          </cell>
          <cell r="E802" t="str">
            <v/>
          </cell>
          <cell r="H802" t="e">
            <v>#N/A</v>
          </cell>
        </row>
        <row r="803">
          <cell r="C803" t="str">
            <v>CELIS NUREÑA RONNY RICARDO</v>
          </cell>
          <cell r="D803">
            <v>46169</v>
          </cell>
          <cell r="E803" t="str">
            <v/>
          </cell>
          <cell r="H803" t="e">
            <v>#N/A</v>
          </cell>
        </row>
        <row r="804">
          <cell r="C804" t="str">
            <v>CELIS NUREÑA RONNY RICARDO</v>
          </cell>
          <cell r="D804">
            <v>46170</v>
          </cell>
          <cell r="E804" t="str">
            <v/>
          </cell>
          <cell r="H804" t="e">
            <v>#N/A</v>
          </cell>
        </row>
        <row r="805">
          <cell r="C805" t="str">
            <v>CELIS NUREÑA RONNY RICARDO</v>
          </cell>
          <cell r="D805">
            <v>46171</v>
          </cell>
          <cell r="E805" t="str">
            <v/>
          </cell>
          <cell r="H805" t="e">
            <v>#N/A</v>
          </cell>
        </row>
        <row r="806">
          <cell r="C806" t="str">
            <v>CELIS NUREÑA RONNY RICARDO</v>
          </cell>
          <cell r="D806">
            <v>46172</v>
          </cell>
          <cell r="E806" t="str">
            <v/>
          </cell>
          <cell r="H806" t="e">
            <v>#N/A</v>
          </cell>
        </row>
        <row r="807">
          <cell r="C807" t="str">
            <v>CELIS NUREÑA RONNY RICARDO</v>
          </cell>
          <cell r="D807">
            <v>46173</v>
          </cell>
          <cell r="E807" t="str">
            <v/>
          </cell>
          <cell r="H807" t="e">
            <v>#N/A</v>
          </cell>
        </row>
        <row r="808">
          <cell r="C808" t="str">
            <v>AZAÑERO BASTRA JHON JAIRO ANTONY</v>
          </cell>
          <cell r="D808">
            <v>46143</v>
          </cell>
          <cell r="E808" t="str">
            <v>B</v>
          </cell>
          <cell r="H808" t="e">
            <v>#N/A</v>
          </cell>
        </row>
        <row r="809">
          <cell r="C809" t="str">
            <v>AZAÑERO BASTRA JHON JAIRO ANTONY</v>
          </cell>
          <cell r="D809">
            <v>46144</v>
          </cell>
          <cell r="E809" t="str">
            <v>B</v>
          </cell>
          <cell r="H809" t="e">
            <v>#N/A</v>
          </cell>
        </row>
        <row r="810">
          <cell r="C810" t="str">
            <v>AZAÑERO BASTRA JHON JAIRO ANTONY</v>
          </cell>
          <cell r="D810">
            <v>46145</v>
          </cell>
          <cell r="E810" t="str">
            <v>B</v>
          </cell>
          <cell r="H810" t="e">
            <v>#N/A</v>
          </cell>
        </row>
        <row r="811">
          <cell r="C811" t="str">
            <v>AZAÑERO BASTRA JHON JAIRO ANTONY</v>
          </cell>
          <cell r="D811">
            <v>46146</v>
          </cell>
          <cell r="E811" t="str">
            <v>B</v>
          </cell>
          <cell r="H811" t="e">
            <v>#N/A</v>
          </cell>
        </row>
        <row r="812">
          <cell r="C812" t="str">
            <v>AZAÑERO BASTRA JHON JAIRO ANTONY</v>
          </cell>
          <cell r="D812">
            <v>46147</v>
          </cell>
          <cell r="E812" t="str">
            <v>B</v>
          </cell>
          <cell r="H812" t="e">
            <v>#N/A</v>
          </cell>
        </row>
        <row r="813">
          <cell r="C813" t="str">
            <v>AZAÑERO BASTRA JHON JAIRO ANTONY</v>
          </cell>
          <cell r="D813">
            <v>46148</v>
          </cell>
          <cell r="E813" t="str">
            <v>B</v>
          </cell>
          <cell r="H813" t="e">
            <v>#N/A</v>
          </cell>
        </row>
        <row r="814">
          <cell r="C814" t="str">
            <v>AZAÑERO BASTRA JHON JAIRO ANTONY</v>
          </cell>
          <cell r="D814">
            <v>46149</v>
          </cell>
          <cell r="E814" t="str">
            <v>B</v>
          </cell>
          <cell r="H814" t="e">
            <v>#N/A</v>
          </cell>
        </row>
        <row r="815">
          <cell r="C815" t="str">
            <v>AZAÑERO BASTRA JHON JAIRO ANTONY</v>
          </cell>
          <cell r="D815">
            <v>46150</v>
          </cell>
          <cell r="E815" t="str">
            <v>B</v>
          </cell>
          <cell r="H815" t="e">
            <v>#N/A</v>
          </cell>
        </row>
        <row r="816">
          <cell r="C816" t="str">
            <v>AZAÑERO BASTRA JHON JAIRO ANTONY</v>
          </cell>
          <cell r="D816">
            <v>46151</v>
          </cell>
          <cell r="E816" t="str">
            <v>B</v>
          </cell>
          <cell r="H816" t="e">
            <v>#N/A</v>
          </cell>
        </row>
        <row r="817">
          <cell r="C817" t="str">
            <v>AZAÑERO BASTRA JHON JAIRO ANTONY</v>
          </cell>
          <cell r="D817">
            <v>46152</v>
          </cell>
          <cell r="E817" t="str">
            <v>B</v>
          </cell>
          <cell r="H817" t="e">
            <v>#N/A</v>
          </cell>
        </row>
        <row r="818">
          <cell r="C818" t="str">
            <v>AZAÑERO BASTRA JHON JAIRO ANTONY</v>
          </cell>
          <cell r="D818">
            <v>46153</v>
          </cell>
          <cell r="E818" t="str">
            <v>B</v>
          </cell>
          <cell r="H818" t="e">
            <v>#N/A</v>
          </cell>
        </row>
        <row r="819">
          <cell r="C819" t="str">
            <v>AZAÑERO BASTRA JHON JAIRO ANTONY</v>
          </cell>
          <cell r="D819">
            <v>46154</v>
          </cell>
          <cell r="E819" t="str">
            <v>B</v>
          </cell>
          <cell r="H819" t="e">
            <v>#N/A</v>
          </cell>
        </row>
        <row r="820">
          <cell r="C820" t="str">
            <v>AZAÑERO BASTRA JHON JAIRO ANTONY</v>
          </cell>
          <cell r="D820">
            <v>46155</v>
          </cell>
          <cell r="E820" t="str">
            <v>B</v>
          </cell>
          <cell r="H820" t="e">
            <v>#N/A</v>
          </cell>
        </row>
        <row r="821">
          <cell r="C821" t="str">
            <v>AZAÑERO BASTRA JHON JAIRO ANTONY</v>
          </cell>
          <cell r="D821">
            <v>46156</v>
          </cell>
          <cell r="E821" t="str">
            <v>B</v>
          </cell>
          <cell r="H821" t="e">
            <v>#N/A</v>
          </cell>
        </row>
        <row r="822">
          <cell r="C822" t="str">
            <v>AZAÑERO BASTRA JHON JAIRO ANTONY</v>
          </cell>
          <cell r="D822">
            <v>46157</v>
          </cell>
          <cell r="E822" t="str">
            <v>B</v>
          </cell>
          <cell r="H822" t="e">
            <v>#N/A</v>
          </cell>
        </row>
        <row r="823">
          <cell r="C823" t="str">
            <v>AZAÑERO BASTRA JHON JAIRO ANTONY</v>
          </cell>
          <cell r="D823">
            <v>46158</v>
          </cell>
          <cell r="E823" t="str">
            <v>B</v>
          </cell>
          <cell r="H823" t="e">
            <v>#N/A</v>
          </cell>
        </row>
        <row r="824">
          <cell r="C824" t="str">
            <v>AZAÑERO BASTRA JHON JAIRO ANTONY</v>
          </cell>
          <cell r="D824">
            <v>46159</v>
          </cell>
          <cell r="E824" t="str">
            <v>B</v>
          </cell>
          <cell r="H824" t="e">
            <v>#N/A</v>
          </cell>
        </row>
        <row r="825">
          <cell r="C825" t="str">
            <v>AZAÑERO BASTRA JHON JAIRO ANTONY</v>
          </cell>
          <cell r="D825">
            <v>46160</v>
          </cell>
          <cell r="E825" t="str">
            <v>B</v>
          </cell>
          <cell r="H825" t="e">
            <v>#N/A</v>
          </cell>
        </row>
        <row r="826">
          <cell r="C826" t="str">
            <v>AZAÑERO BASTRA JHON JAIRO ANTONY</v>
          </cell>
          <cell r="D826">
            <v>46161</v>
          </cell>
          <cell r="E826" t="str">
            <v>B</v>
          </cell>
          <cell r="H826" t="e">
            <v>#N/A</v>
          </cell>
        </row>
        <row r="827">
          <cell r="C827" t="str">
            <v>AZAÑERO BASTRA JHON JAIRO ANTONY</v>
          </cell>
          <cell r="D827">
            <v>46162</v>
          </cell>
          <cell r="E827" t="str">
            <v/>
          </cell>
          <cell r="H827" t="e">
            <v>#N/A</v>
          </cell>
        </row>
        <row r="828">
          <cell r="C828" t="str">
            <v>AZAÑERO BASTRA JHON JAIRO ANTONY</v>
          </cell>
          <cell r="D828">
            <v>46163</v>
          </cell>
          <cell r="E828" t="str">
            <v/>
          </cell>
          <cell r="H828" t="e">
            <v>#N/A</v>
          </cell>
        </row>
        <row r="829">
          <cell r="C829" t="str">
            <v>AZAÑERO BASTRA JHON JAIRO ANTONY</v>
          </cell>
          <cell r="D829">
            <v>46164</v>
          </cell>
          <cell r="E829" t="str">
            <v/>
          </cell>
          <cell r="H829" t="e">
            <v>#N/A</v>
          </cell>
        </row>
        <row r="830">
          <cell r="C830" t="str">
            <v>AZAÑERO BASTRA JHON JAIRO ANTONY</v>
          </cell>
          <cell r="D830">
            <v>46165</v>
          </cell>
          <cell r="E830" t="str">
            <v/>
          </cell>
          <cell r="H830" t="e">
            <v>#N/A</v>
          </cell>
        </row>
        <row r="831">
          <cell r="C831" t="str">
            <v>AZAÑERO BASTRA JHON JAIRO ANTONY</v>
          </cell>
          <cell r="D831">
            <v>46166</v>
          </cell>
          <cell r="E831" t="str">
            <v/>
          </cell>
          <cell r="H831" t="e">
            <v>#N/A</v>
          </cell>
        </row>
        <row r="832">
          <cell r="C832" t="str">
            <v>AZAÑERO BASTRA JHON JAIRO ANTONY</v>
          </cell>
          <cell r="D832">
            <v>46167</v>
          </cell>
          <cell r="E832" t="str">
            <v/>
          </cell>
          <cell r="H832" t="e">
            <v>#N/A</v>
          </cell>
        </row>
        <row r="833">
          <cell r="C833" t="str">
            <v>AZAÑERO BASTRA JHON JAIRO ANTONY</v>
          </cell>
          <cell r="D833">
            <v>46168</v>
          </cell>
          <cell r="E833" t="str">
            <v/>
          </cell>
          <cell r="H833" t="e">
            <v>#N/A</v>
          </cell>
        </row>
        <row r="834">
          <cell r="C834" t="str">
            <v>AZAÑERO BASTRA JHON JAIRO ANTONY</v>
          </cell>
          <cell r="D834">
            <v>46169</v>
          </cell>
          <cell r="E834" t="str">
            <v/>
          </cell>
          <cell r="H834" t="e">
            <v>#N/A</v>
          </cell>
        </row>
        <row r="835">
          <cell r="C835" t="str">
            <v>AZAÑERO BASTRA JHON JAIRO ANTONY</v>
          </cell>
          <cell r="D835">
            <v>46170</v>
          </cell>
          <cell r="E835" t="str">
            <v/>
          </cell>
          <cell r="H835" t="e">
            <v>#N/A</v>
          </cell>
        </row>
        <row r="836">
          <cell r="C836" t="str">
            <v>AZAÑERO BASTRA JHON JAIRO ANTONY</v>
          </cell>
          <cell r="D836">
            <v>46171</v>
          </cell>
          <cell r="E836" t="str">
            <v/>
          </cell>
          <cell r="H836" t="e">
            <v>#N/A</v>
          </cell>
        </row>
        <row r="837">
          <cell r="C837" t="str">
            <v>AZAÑERO BASTRA JHON JAIRO ANTONY</v>
          </cell>
          <cell r="D837">
            <v>46172</v>
          </cell>
          <cell r="E837" t="str">
            <v/>
          </cell>
          <cell r="H837" t="e">
            <v>#N/A</v>
          </cell>
        </row>
        <row r="838">
          <cell r="C838" t="str">
            <v>AZAÑERO BASTRA JHON JAIRO ANTONY</v>
          </cell>
          <cell r="D838">
            <v>46173</v>
          </cell>
          <cell r="E838" t="str">
            <v/>
          </cell>
          <cell r="H838" t="e">
            <v>#N/A</v>
          </cell>
        </row>
        <row r="839">
          <cell r="C839" t="str">
            <v>SALIRROSAS CONTRERAS NILSON LINDER</v>
          </cell>
          <cell r="D839">
            <v>46143</v>
          </cell>
          <cell r="E839" t="str">
            <v>A</v>
          </cell>
          <cell r="H839" t="str">
            <v>Asistencia</v>
          </cell>
        </row>
        <row r="840">
          <cell r="C840" t="str">
            <v>SALIRROSAS CONTRERAS NILSON LINDER</v>
          </cell>
          <cell r="D840">
            <v>46144</v>
          </cell>
          <cell r="E840" t="str">
            <v>DNR</v>
          </cell>
          <cell r="H840" t="str">
            <v>No Remunerado</v>
          </cell>
        </row>
        <row r="841">
          <cell r="C841" t="str">
            <v>SALIRROSAS CONTRERAS NILSON LINDER</v>
          </cell>
          <cell r="D841">
            <v>46145</v>
          </cell>
          <cell r="E841" t="str">
            <v>DNR</v>
          </cell>
          <cell r="H841" t="str">
            <v>No Remunerado</v>
          </cell>
        </row>
        <row r="842">
          <cell r="C842" t="str">
            <v>SALIRROSAS CONTRERAS NILSON LINDER</v>
          </cell>
          <cell r="D842">
            <v>46146</v>
          </cell>
          <cell r="E842" t="str">
            <v>A</v>
          </cell>
          <cell r="H842" t="str">
            <v>Asistencia</v>
          </cell>
        </row>
        <row r="843">
          <cell r="C843" t="str">
            <v>SALIRROSAS CONTRERAS NILSON LINDER</v>
          </cell>
          <cell r="D843">
            <v>46147</v>
          </cell>
          <cell r="E843" t="str">
            <v>A</v>
          </cell>
          <cell r="H843" t="str">
            <v>Asistencia</v>
          </cell>
        </row>
        <row r="844">
          <cell r="C844" t="str">
            <v>SALIRROSAS CONTRERAS NILSON LINDER</v>
          </cell>
          <cell r="D844">
            <v>46148</v>
          </cell>
          <cell r="E844" t="str">
            <v>A</v>
          </cell>
          <cell r="H844" t="str">
            <v>Asistencia</v>
          </cell>
        </row>
        <row r="845">
          <cell r="C845" t="str">
            <v>SALIRROSAS CONTRERAS NILSON LINDER</v>
          </cell>
          <cell r="D845">
            <v>46149</v>
          </cell>
          <cell r="E845" t="str">
            <v>A</v>
          </cell>
          <cell r="H845" t="str">
            <v>Asistencia</v>
          </cell>
        </row>
        <row r="846">
          <cell r="C846" t="str">
            <v>SALIRROSAS CONTRERAS NILSON LINDER</v>
          </cell>
          <cell r="D846">
            <v>46150</v>
          </cell>
          <cell r="E846" t="str">
            <v>A</v>
          </cell>
          <cell r="H846" t="str">
            <v>Asistencia</v>
          </cell>
        </row>
        <row r="847">
          <cell r="C847" t="str">
            <v>SALIRROSAS CONTRERAS NILSON LINDER</v>
          </cell>
          <cell r="D847">
            <v>46151</v>
          </cell>
          <cell r="E847" t="str">
            <v>A</v>
          </cell>
          <cell r="H847" t="str">
            <v>Asistencia</v>
          </cell>
        </row>
        <row r="848">
          <cell r="C848" t="str">
            <v>SALIRROSAS CONTRERAS NILSON LINDER</v>
          </cell>
          <cell r="D848">
            <v>46152</v>
          </cell>
          <cell r="E848" t="str">
            <v>DR</v>
          </cell>
          <cell r="H848" t="str">
            <v>D. Remunerado</v>
          </cell>
        </row>
        <row r="849">
          <cell r="C849" t="str">
            <v>SALIRROSAS CONTRERAS NILSON LINDER</v>
          </cell>
          <cell r="D849">
            <v>46153</v>
          </cell>
          <cell r="E849" t="str">
            <v>A</v>
          </cell>
          <cell r="H849" t="str">
            <v>Asistencia</v>
          </cell>
        </row>
        <row r="850">
          <cell r="C850" t="str">
            <v>SALIRROSAS CONTRERAS NILSON LINDER</v>
          </cell>
          <cell r="D850">
            <v>46154</v>
          </cell>
          <cell r="E850" t="str">
            <v>A</v>
          </cell>
          <cell r="H850" t="str">
            <v>Asistencia</v>
          </cell>
        </row>
        <row r="851">
          <cell r="C851" t="str">
            <v>SALIRROSAS CONTRERAS NILSON LINDER</v>
          </cell>
          <cell r="D851">
            <v>46155</v>
          </cell>
          <cell r="E851" t="str">
            <v>A</v>
          </cell>
          <cell r="H851" t="str">
            <v>Asistencia</v>
          </cell>
        </row>
        <row r="852">
          <cell r="C852" t="str">
            <v>SALIRROSAS CONTRERAS NILSON LINDER</v>
          </cell>
          <cell r="D852">
            <v>46156</v>
          </cell>
          <cell r="E852" t="str">
            <v>A</v>
          </cell>
          <cell r="H852" t="str">
            <v>Asistencia</v>
          </cell>
        </row>
        <row r="853">
          <cell r="C853" t="str">
            <v>SALIRROSAS CONTRERAS NILSON LINDER</v>
          </cell>
          <cell r="D853">
            <v>46157</v>
          </cell>
          <cell r="E853" t="str">
            <v>A</v>
          </cell>
          <cell r="H853" t="str">
            <v>Asistencia</v>
          </cell>
        </row>
        <row r="854">
          <cell r="C854" t="str">
            <v>SALIRROSAS CONTRERAS NILSON LINDER</v>
          </cell>
          <cell r="D854">
            <v>46158</v>
          </cell>
          <cell r="E854" t="str">
            <v>A</v>
          </cell>
          <cell r="H854" t="str">
            <v>Asistencia</v>
          </cell>
        </row>
        <row r="855">
          <cell r="C855" t="str">
            <v>SALIRROSAS CONTRERAS NILSON LINDER</v>
          </cell>
          <cell r="D855">
            <v>46159</v>
          </cell>
          <cell r="E855" t="str">
            <v>DR</v>
          </cell>
          <cell r="H855" t="str">
            <v>D. Remunerado</v>
          </cell>
        </row>
        <row r="856">
          <cell r="C856" t="str">
            <v>SALIRROSAS CONTRERAS NILSON LINDER</v>
          </cell>
          <cell r="D856">
            <v>46160</v>
          </cell>
          <cell r="E856" t="str">
            <v>A</v>
          </cell>
          <cell r="H856" t="str">
            <v>Asistencia</v>
          </cell>
        </row>
        <row r="857">
          <cell r="C857" t="str">
            <v>SALIRROSAS CONTRERAS NILSON LINDER</v>
          </cell>
          <cell r="D857">
            <v>46161</v>
          </cell>
          <cell r="E857" t="str">
            <v>A</v>
          </cell>
          <cell r="H857" t="str">
            <v>Asistencia</v>
          </cell>
        </row>
        <row r="858">
          <cell r="C858" t="str">
            <v>SALIRROSAS CONTRERAS NILSON LINDER</v>
          </cell>
          <cell r="D858">
            <v>46162</v>
          </cell>
          <cell r="E858" t="str">
            <v>A</v>
          </cell>
          <cell r="H858" t="str">
            <v>Asistencia</v>
          </cell>
        </row>
        <row r="859">
          <cell r="C859" t="str">
            <v>SALIRROSAS CONTRERAS NILSON LINDER</v>
          </cell>
          <cell r="D859">
            <v>46163</v>
          </cell>
          <cell r="E859" t="str">
            <v>A</v>
          </cell>
          <cell r="H859" t="str">
            <v>Asistencia</v>
          </cell>
        </row>
        <row r="860">
          <cell r="C860" t="str">
            <v>SALIRROSAS CONTRERAS NILSON LINDER</v>
          </cell>
          <cell r="D860">
            <v>46164</v>
          </cell>
          <cell r="E860" t="str">
            <v>A</v>
          </cell>
          <cell r="H860" t="str">
            <v>Asistencia</v>
          </cell>
        </row>
        <row r="861">
          <cell r="C861" t="str">
            <v>SALIRROSAS CONTRERAS NILSON LINDER</v>
          </cell>
          <cell r="D861">
            <v>46165</v>
          </cell>
          <cell r="E861" t="str">
            <v>A</v>
          </cell>
          <cell r="H861" t="str">
            <v>Asistencia</v>
          </cell>
        </row>
        <row r="862">
          <cell r="C862" t="str">
            <v>SALIRROSAS CONTRERAS NILSON LINDER</v>
          </cell>
          <cell r="D862">
            <v>46166</v>
          </cell>
          <cell r="E862" t="str">
            <v>DR</v>
          </cell>
          <cell r="H862" t="str">
            <v>D. Remunerado</v>
          </cell>
        </row>
        <row r="863">
          <cell r="C863" t="str">
            <v>SALIRROSAS CONTRERAS NILSON LINDER</v>
          </cell>
          <cell r="D863">
            <v>46167</v>
          </cell>
          <cell r="E863" t="str">
            <v>A</v>
          </cell>
          <cell r="H863" t="str">
            <v>Asistencia</v>
          </cell>
        </row>
        <row r="864">
          <cell r="C864" t="str">
            <v>SALIRROSAS CONTRERAS NILSON LINDER</v>
          </cell>
          <cell r="D864">
            <v>46168</v>
          </cell>
          <cell r="E864" t="str">
            <v>A</v>
          </cell>
          <cell r="H864" t="str">
            <v>Asistencia</v>
          </cell>
        </row>
        <row r="865">
          <cell r="C865" t="str">
            <v>SALIRROSAS CONTRERAS NILSON LINDER</v>
          </cell>
          <cell r="D865">
            <v>46169</v>
          </cell>
          <cell r="E865" t="str">
            <v>A</v>
          </cell>
          <cell r="H865" t="str">
            <v>Asistencia</v>
          </cell>
        </row>
        <row r="866">
          <cell r="C866" t="str">
            <v>SALIRROSAS CONTRERAS NILSON LINDER</v>
          </cell>
          <cell r="D866">
            <v>46170</v>
          </cell>
          <cell r="E866" t="str">
            <v>A</v>
          </cell>
          <cell r="H866" t="str">
            <v>Asistencia</v>
          </cell>
        </row>
        <row r="867">
          <cell r="C867" t="str">
            <v>SALIRROSAS CONTRERAS NILSON LINDER</v>
          </cell>
          <cell r="D867">
            <v>46171</v>
          </cell>
          <cell r="E867" t="str">
            <v>A</v>
          </cell>
          <cell r="H867" t="str">
            <v>Asistencia</v>
          </cell>
        </row>
        <row r="868">
          <cell r="C868" t="str">
            <v>SALIRROSAS CONTRERAS NILSON LINDER</v>
          </cell>
          <cell r="D868">
            <v>46172</v>
          </cell>
          <cell r="E868" t="str">
            <v>A</v>
          </cell>
          <cell r="H868" t="str">
            <v>Asistencia</v>
          </cell>
        </row>
        <row r="869">
          <cell r="C869" t="str">
            <v>SALIRROSAS CONTRERAS NILSON LINDER</v>
          </cell>
          <cell r="D869">
            <v>46173</v>
          </cell>
          <cell r="E869" t="str">
            <v>DR</v>
          </cell>
          <cell r="H869" t="str">
            <v>D. Remunerado</v>
          </cell>
        </row>
        <row r="870">
          <cell r="C870" t="str">
            <v>SIFUENTES PAREDES EDUARDO JAVIER</v>
          </cell>
          <cell r="D870">
            <v>46143</v>
          </cell>
          <cell r="E870" t="str">
            <v>A</v>
          </cell>
          <cell r="H870" t="str">
            <v>Asistencia</v>
          </cell>
        </row>
        <row r="871">
          <cell r="C871" t="str">
            <v>SIFUENTES PAREDES EDUARDO JAVIER</v>
          </cell>
          <cell r="D871">
            <v>46144</v>
          </cell>
          <cell r="E871" t="str">
            <v>A</v>
          </cell>
          <cell r="H871" t="str">
            <v>Asistencia</v>
          </cell>
        </row>
        <row r="872">
          <cell r="C872" t="str">
            <v>SIFUENTES PAREDES EDUARDO JAVIER</v>
          </cell>
          <cell r="D872">
            <v>46145</v>
          </cell>
          <cell r="E872" t="str">
            <v>DNR</v>
          </cell>
          <cell r="H872" t="str">
            <v>No Remunerado</v>
          </cell>
        </row>
        <row r="873">
          <cell r="C873" t="str">
            <v>SIFUENTES PAREDES EDUARDO JAVIER</v>
          </cell>
          <cell r="D873">
            <v>46146</v>
          </cell>
          <cell r="E873" t="str">
            <v>A</v>
          </cell>
          <cell r="H873" t="str">
            <v>Asistencia</v>
          </cell>
        </row>
        <row r="874">
          <cell r="C874" t="str">
            <v>SIFUENTES PAREDES EDUARDO JAVIER</v>
          </cell>
          <cell r="D874">
            <v>46147</v>
          </cell>
          <cell r="E874" t="str">
            <v>A</v>
          </cell>
          <cell r="H874" t="str">
            <v>Asistencia</v>
          </cell>
        </row>
        <row r="875">
          <cell r="C875" t="str">
            <v>SIFUENTES PAREDES EDUARDO JAVIER</v>
          </cell>
          <cell r="D875">
            <v>46148</v>
          </cell>
          <cell r="E875" t="str">
            <v>A</v>
          </cell>
          <cell r="H875" t="str">
            <v>Asistencia</v>
          </cell>
        </row>
        <row r="876">
          <cell r="C876" t="str">
            <v>SIFUENTES PAREDES EDUARDO JAVIER</v>
          </cell>
          <cell r="D876">
            <v>46149</v>
          </cell>
          <cell r="E876" t="str">
            <v>A</v>
          </cell>
          <cell r="H876" t="str">
            <v>Asistencia</v>
          </cell>
        </row>
        <row r="877">
          <cell r="C877" t="str">
            <v>SIFUENTES PAREDES EDUARDO JAVIER</v>
          </cell>
          <cell r="D877">
            <v>46150</v>
          </cell>
          <cell r="E877" t="str">
            <v>A</v>
          </cell>
          <cell r="H877" t="str">
            <v>Asistencia</v>
          </cell>
        </row>
        <row r="878">
          <cell r="C878" t="str">
            <v>SIFUENTES PAREDES EDUARDO JAVIER</v>
          </cell>
          <cell r="D878">
            <v>46151</v>
          </cell>
          <cell r="E878" t="str">
            <v>A</v>
          </cell>
          <cell r="H878" t="str">
            <v>Asistencia</v>
          </cell>
        </row>
        <row r="879">
          <cell r="C879" t="str">
            <v>SIFUENTES PAREDES EDUARDO JAVIER</v>
          </cell>
          <cell r="D879">
            <v>46152</v>
          </cell>
          <cell r="E879" t="str">
            <v>DR</v>
          </cell>
          <cell r="H879" t="str">
            <v>D. Remunerado</v>
          </cell>
        </row>
        <row r="880">
          <cell r="C880" t="str">
            <v>SIFUENTES PAREDES EDUARDO JAVIER</v>
          </cell>
          <cell r="D880">
            <v>46153</v>
          </cell>
          <cell r="E880" t="str">
            <v>A</v>
          </cell>
          <cell r="H880" t="str">
            <v>Asistencia</v>
          </cell>
        </row>
        <row r="881">
          <cell r="C881" t="str">
            <v>SIFUENTES PAREDES EDUARDO JAVIER</v>
          </cell>
          <cell r="D881">
            <v>46154</v>
          </cell>
          <cell r="E881" t="str">
            <v>A</v>
          </cell>
          <cell r="H881" t="str">
            <v>Asistencia</v>
          </cell>
        </row>
        <row r="882">
          <cell r="C882" t="str">
            <v>SIFUENTES PAREDES EDUARDO JAVIER</v>
          </cell>
          <cell r="D882">
            <v>46155</v>
          </cell>
          <cell r="E882" t="str">
            <v>A</v>
          </cell>
          <cell r="H882" t="str">
            <v>Asistencia</v>
          </cell>
        </row>
        <row r="883">
          <cell r="C883" t="str">
            <v>SIFUENTES PAREDES EDUARDO JAVIER</v>
          </cell>
          <cell r="D883">
            <v>46156</v>
          </cell>
          <cell r="E883" t="str">
            <v>A</v>
          </cell>
          <cell r="H883" t="str">
            <v>Asistencia</v>
          </cell>
        </row>
        <row r="884">
          <cell r="C884" t="str">
            <v>SIFUENTES PAREDES EDUARDO JAVIER</v>
          </cell>
          <cell r="D884">
            <v>46157</v>
          </cell>
          <cell r="E884" t="str">
            <v>A</v>
          </cell>
          <cell r="H884" t="str">
            <v>Asistencia</v>
          </cell>
        </row>
        <row r="885">
          <cell r="C885" t="str">
            <v>SIFUENTES PAREDES EDUARDO JAVIER</v>
          </cell>
          <cell r="D885">
            <v>46158</v>
          </cell>
          <cell r="E885" t="str">
            <v>A</v>
          </cell>
          <cell r="H885" t="str">
            <v>Asistencia</v>
          </cell>
        </row>
        <row r="886">
          <cell r="C886" t="str">
            <v>SIFUENTES PAREDES EDUARDO JAVIER</v>
          </cell>
          <cell r="D886">
            <v>46159</v>
          </cell>
          <cell r="E886" t="str">
            <v>DR</v>
          </cell>
          <cell r="H886" t="str">
            <v>D. Remunerado</v>
          </cell>
        </row>
        <row r="887">
          <cell r="C887" t="str">
            <v>SIFUENTES PAREDES EDUARDO JAVIER</v>
          </cell>
          <cell r="D887">
            <v>46160</v>
          </cell>
          <cell r="E887" t="str">
            <v>A</v>
          </cell>
          <cell r="H887" t="str">
            <v>Asistencia</v>
          </cell>
        </row>
        <row r="888">
          <cell r="C888" t="str">
            <v>SIFUENTES PAREDES EDUARDO JAVIER</v>
          </cell>
          <cell r="D888">
            <v>46161</v>
          </cell>
          <cell r="E888" t="str">
            <v>A</v>
          </cell>
          <cell r="H888" t="str">
            <v>Asistencia</v>
          </cell>
        </row>
        <row r="889">
          <cell r="C889" t="str">
            <v>SIFUENTES PAREDES EDUARDO JAVIER</v>
          </cell>
          <cell r="D889">
            <v>46162</v>
          </cell>
          <cell r="E889" t="str">
            <v>A</v>
          </cell>
          <cell r="H889" t="str">
            <v>Asistencia</v>
          </cell>
        </row>
        <row r="890">
          <cell r="C890" t="str">
            <v>SIFUENTES PAREDES EDUARDO JAVIER</v>
          </cell>
          <cell r="D890">
            <v>46163</v>
          </cell>
          <cell r="E890" t="str">
            <v>A</v>
          </cell>
          <cell r="H890" t="str">
            <v>Asistencia</v>
          </cell>
        </row>
        <row r="891">
          <cell r="C891" t="str">
            <v>SIFUENTES PAREDES EDUARDO JAVIER</v>
          </cell>
          <cell r="D891">
            <v>46164</v>
          </cell>
          <cell r="E891" t="str">
            <v>A</v>
          </cell>
          <cell r="H891" t="str">
            <v>Asistencia</v>
          </cell>
        </row>
        <row r="892">
          <cell r="C892" t="str">
            <v>SIFUENTES PAREDES EDUARDO JAVIER</v>
          </cell>
          <cell r="D892">
            <v>46165</v>
          </cell>
          <cell r="E892" t="str">
            <v>A</v>
          </cell>
          <cell r="H892" t="str">
            <v>Asistencia</v>
          </cell>
        </row>
        <row r="893">
          <cell r="C893" t="str">
            <v>SIFUENTES PAREDES EDUARDO JAVIER</v>
          </cell>
          <cell r="D893">
            <v>46166</v>
          </cell>
          <cell r="E893" t="str">
            <v>DR</v>
          </cell>
          <cell r="H893" t="str">
            <v>D. Remunerado</v>
          </cell>
        </row>
        <row r="894">
          <cell r="C894" t="str">
            <v>SIFUENTES PAREDES EDUARDO JAVIER</v>
          </cell>
          <cell r="D894">
            <v>46167</v>
          </cell>
          <cell r="E894" t="str">
            <v>A</v>
          </cell>
          <cell r="H894" t="str">
            <v>Asistencia</v>
          </cell>
        </row>
        <row r="895">
          <cell r="C895" t="str">
            <v>SIFUENTES PAREDES EDUARDO JAVIER</v>
          </cell>
          <cell r="D895">
            <v>46168</v>
          </cell>
          <cell r="E895" t="str">
            <v>A</v>
          </cell>
          <cell r="H895" t="str">
            <v>Asistencia</v>
          </cell>
        </row>
        <row r="896">
          <cell r="C896" t="str">
            <v>SIFUENTES PAREDES EDUARDO JAVIER</v>
          </cell>
          <cell r="D896">
            <v>46169</v>
          </cell>
          <cell r="E896" t="str">
            <v>A</v>
          </cell>
          <cell r="H896" t="str">
            <v>Asistencia</v>
          </cell>
        </row>
        <row r="897">
          <cell r="C897" t="str">
            <v>SIFUENTES PAREDES EDUARDO JAVIER</v>
          </cell>
          <cell r="D897">
            <v>46170</v>
          </cell>
          <cell r="E897" t="str">
            <v>A</v>
          </cell>
          <cell r="H897" t="str">
            <v>Asistencia</v>
          </cell>
        </row>
        <row r="898">
          <cell r="C898" t="str">
            <v>SIFUENTES PAREDES EDUARDO JAVIER</v>
          </cell>
          <cell r="D898">
            <v>46171</v>
          </cell>
          <cell r="E898" t="str">
            <v>A</v>
          </cell>
          <cell r="H898" t="str">
            <v>Asistencia</v>
          </cell>
        </row>
        <row r="899">
          <cell r="C899" t="str">
            <v>SIFUENTES PAREDES EDUARDO JAVIER</v>
          </cell>
          <cell r="D899">
            <v>46172</v>
          </cell>
          <cell r="E899" t="str">
            <v>A</v>
          </cell>
          <cell r="H899" t="str">
            <v>Asistencia</v>
          </cell>
        </row>
        <row r="900">
          <cell r="C900" t="str">
            <v>SIFUENTES PAREDES EDUARDO JAVIER</v>
          </cell>
          <cell r="D900">
            <v>46173</v>
          </cell>
          <cell r="E900" t="str">
            <v>DR</v>
          </cell>
          <cell r="H900" t="str">
            <v>D. Remunerado</v>
          </cell>
        </row>
        <row r="901">
          <cell r="C901" t="str">
            <v>TERRONES JARA LEYDER</v>
          </cell>
          <cell r="D901">
            <v>46143</v>
          </cell>
          <cell r="E901" t="str">
            <v>DNR</v>
          </cell>
          <cell r="H901" t="str">
            <v>No Remunerado</v>
          </cell>
        </row>
        <row r="902">
          <cell r="C902" t="str">
            <v>TERRONES JARA LEYDER</v>
          </cell>
          <cell r="D902">
            <v>46144</v>
          </cell>
          <cell r="E902" t="str">
            <v>A</v>
          </cell>
          <cell r="H902" t="str">
            <v>Asistencia</v>
          </cell>
        </row>
        <row r="903">
          <cell r="C903" t="str">
            <v>TERRONES JARA LEYDER</v>
          </cell>
          <cell r="D903">
            <v>46145</v>
          </cell>
          <cell r="E903" t="str">
            <v>DNR</v>
          </cell>
          <cell r="H903" t="str">
            <v>No Remunerado</v>
          </cell>
        </row>
        <row r="904">
          <cell r="C904" t="str">
            <v>TERRONES JARA LEYDER</v>
          </cell>
          <cell r="D904">
            <v>46146</v>
          </cell>
          <cell r="E904" t="str">
            <v>A</v>
          </cell>
          <cell r="H904" t="str">
            <v>Asistencia</v>
          </cell>
        </row>
        <row r="905">
          <cell r="C905" t="str">
            <v>TERRONES JARA LEYDER</v>
          </cell>
          <cell r="D905">
            <v>46147</v>
          </cell>
          <cell r="E905" t="str">
            <v>A</v>
          </cell>
          <cell r="H905" t="str">
            <v>Asistencia</v>
          </cell>
        </row>
        <row r="906">
          <cell r="C906" t="str">
            <v>TERRONES JARA LEYDER</v>
          </cell>
          <cell r="D906">
            <v>46148</v>
          </cell>
          <cell r="E906" t="str">
            <v>A</v>
          </cell>
          <cell r="H906" t="str">
            <v>Asistencia</v>
          </cell>
        </row>
        <row r="907">
          <cell r="C907" t="str">
            <v>TERRONES JARA LEYDER</v>
          </cell>
          <cell r="D907">
            <v>46149</v>
          </cell>
          <cell r="E907" t="str">
            <v>A</v>
          </cell>
          <cell r="H907" t="str">
            <v>Asistencia</v>
          </cell>
        </row>
        <row r="908">
          <cell r="C908" t="str">
            <v>TERRONES JARA LEYDER</v>
          </cell>
          <cell r="D908">
            <v>46150</v>
          </cell>
          <cell r="E908" t="str">
            <v>A</v>
          </cell>
          <cell r="H908" t="str">
            <v>Asistencia</v>
          </cell>
        </row>
        <row r="909">
          <cell r="C909" t="str">
            <v>TERRONES JARA LEYDER</v>
          </cell>
          <cell r="D909">
            <v>46151</v>
          </cell>
          <cell r="E909" t="str">
            <v>A</v>
          </cell>
          <cell r="H909" t="str">
            <v>Asistencia</v>
          </cell>
        </row>
        <row r="910">
          <cell r="C910" t="str">
            <v>TERRONES JARA LEYDER</v>
          </cell>
          <cell r="D910">
            <v>46152</v>
          </cell>
          <cell r="E910" t="str">
            <v>DR</v>
          </cell>
          <cell r="H910" t="str">
            <v>D. Remunerado</v>
          </cell>
        </row>
        <row r="911">
          <cell r="C911" t="str">
            <v>TERRONES JARA LEYDER</v>
          </cell>
          <cell r="D911">
            <v>46153</v>
          </cell>
          <cell r="E911" t="str">
            <v>A</v>
          </cell>
          <cell r="H911" t="str">
            <v>Asistencia</v>
          </cell>
        </row>
        <row r="912">
          <cell r="C912" t="str">
            <v>TERRONES JARA LEYDER</v>
          </cell>
          <cell r="D912">
            <v>46154</v>
          </cell>
          <cell r="E912" t="str">
            <v>A</v>
          </cell>
          <cell r="H912" t="str">
            <v>Asistencia</v>
          </cell>
        </row>
        <row r="913">
          <cell r="C913" t="str">
            <v>TERRONES JARA LEYDER</v>
          </cell>
          <cell r="D913">
            <v>46155</v>
          </cell>
          <cell r="E913" t="str">
            <v>A</v>
          </cell>
          <cell r="H913" t="str">
            <v>Asistencia</v>
          </cell>
        </row>
        <row r="914">
          <cell r="C914" t="str">
            <v>TERRONES JARA LEYDER</v>
          </cell>
          <cell r="D914">
            <v>46156</v>
          </cell>
          <cell r="E914" t="str">
            <v>A</v>
          </cell>
          <cell r="H914" t="str">
            <v>Asistencia</v>
          </cell>
        </row>
        <row r="915">
          <cell r="C915" t="str">
            <v>TERRONES JARA LEYDER</v>
          </cell>
          <cell r="D915">
            <v>46157</v>
          </cell>
          <cell r="E915" t="str">
            <v>A</v>
          </cell>
          <cell r="H915" t="str">
            <v>Asistencia</v>
          </cell>
        </row>
        <row r="916">
          <cell r="C916" t="str">
            <v>TERRONES JARA LEYDER</v>
          </cell>
          <cell r="D916">
            <v>46158</v>
          </cell>
          <cell r="E916" t="str">
            <v>A</v>
          </cell>
          <cell r="H916" t="str">
            <v>Asistencia</v>
          </cell>
        </row>
        <row r="917">
          <cell r="C917" t="str">
            <v>TERRONES JARA LEYDER</v>
          </cell>
          <cell r="D917">
            <v>46159</v>
          </cell>
          <cell r="E917" t="str">
            <v>DR</v>
          </cell>
          <cell r="H917" t="str">
            <v>D. Remunerado</v>
          </cell>
        </row>
        <row r="918">
          <cell r="C918" t="str">
            <v>TERRONES JARA LEYDER</v>
          </cell>
          <cell r="D918">
            <v>46160</v>
          </cell>
          <cell r="E918" t="str">
            <v>A</v>
          </cell>
          <cell r="H918" t="str">
            <v>Asistencia</v>
          </cell>
        </row>
        <row r="919">
          <cell r="C919" t="str">
            <v>TERRONES JARA LEYDER</v>
          </cell>
          <cell r="D919">
            <v>46161</v>
          </cell>
          <cell r="E919" t="str">
            <v>A</v>
          </cell>
          <cell r="H919" t="str">
            <v>Asistencia</v>
          </cell>
        </row>
        <row r="920">
          <cell r="C920" t="str">
            <v>TERRONES JARA LEYDER</v>
          </cell>
          <cell r="D920">
            <v>46162</v>
          </cell>
          <cell r="E920" t="str">
            <v>A</v>
          </cell>
          <cell r="H920" t="str">
            <v>Asistencia</v>
          </cell>
        </row>
        <row r="921">
          <cell r="C921" t="str">
            <v>TERRONES JARA LEYDER</v>
          </cell>
          <cell r="D921">
            <v>46163</v>
          </cell>
          <cell r="E921" t="str">
            <v>A</v>
          </cell>
          <cell r="H921" t="str">
            <v>Asistencia</v>
          </cell>
        </row>
        <row r="922">
          <cell r="C922" t="str">
            <v>TERRONES JARA LEYDER</v>
          </cell>
          <cell r="D922">
            <v>46164</v>
          </cell>
          <cell r="E922" t="str">
            <v>A</v>
          </cell>
          <cell r="H922" t="str">
            <v>Asistencia</v>
          </cell>
        </row>
        <row r="923">
          <cell r="C923" t="str">
            <v>TERRONES JARA LEYDER</v>
          </cell>
          <cell r="D923">
            <v>46165</v>
          </cell>
          <cell r="E923" t="str">
            <v>A</v>
          </cell>
          <cell r="H923" t="str">
            <v>Asistencia</v>
          </cell>
        </row>
        <row r="924">
          <cell r="C924" t="str">
            <v>TERRONES JARA LEYDER</v>
          </cell>
          <cell r="D924">
            <v>46166</v>
          </cell>
          <cell r="E924" t="str">
            <v>DR</v>
          </cell>
          <cell r="H924" t="str">
            <v>D. Remunerado</v>
          </cell>
        </row>
        <row r="925">
          <cell r="C925" t="str">
            <v>TERRONES JARA LEYDER</v>
          </cell>
          <cell r="D925">
            <v>46167</v>
          </cell>
          <cell r="E925" t="str">
            <v>A</v>
          </cell>
          <cell r="H925" t="str">
            <v>Asistencia</v>
          </cell>
        </row>
        <row r="926">
          <cell r="C926" t="str">
            <v>TERRONES JARA LEYDER</v>
          </cell>
          <cell r="D926">
            <v>46168</v>
          </cell>
          <cell r="E926" t="str">
            <v>A</v>
          </cell>
          <cell r="H926" t="str">
            <v>Asistencia</v>
          </cell>
        </row>
        <row r="927">
          <cell r="C927" t="str">
            <v>TERRONES JARA LEYDER</v>
          </cell>
          <cell r="D927">
            <v>46169</v>
          </cell>
          <cell r="E927" t="str">
            <v>A</v>
          </cell>
          <cell r="H927" t="str">
            <v>Asistencia</v>
          </cell>
        </row>
        <row r="928">
          <cell r="C928" t="str">
            <v>TERRONES JARA LEYDER</v>
          </cell>
          <cell r="D928">
            <v>46170</v>
          </cell>
          <cell r="E928" t="str">
            <v>A</v>
          </cell>
          <cell r="H928" t="str">
            <v>Asistencia</v>
          </cell>
        </row>
        <row r="929">
          <cell r="C929" t="str">
            <v>TERRONES JARA LEYDER</v>
          </cell>
          <cell r="D929">
            <v>46171</v>
          </cell>
          <cell r="E929" t="str">
            <v>A</v>
          </cell>
          <cell r="H929" t="str">
            <v>Asistencia</v>
          </cell>
        </row>
        <row r="930">
          <cell r="C930" t="str">
            <v>TERRONES JARA LEYDER</v>
          </cell>
          <cell r="D930">
            <v>46172</v>
          </cell>
          <cell r="E930" t="str">
            <v>A</v>
          </cell>
          <cell r="H930" t="str">
            <v>Asistencia</v>
          </cell>
        </row>
        <row r="931">
          <cell r="C931" t="str">
            <v>TERRONES JARA LEYDER</v>
          </cell>
          <cell r="D931">
            <v>46173</v>
          </cell>
          <cell r="E931" t="str">
            <v>H/A</v>
          </cell>
          <cell r="H931" t="e">
            <v>#N/A</v>
          </cell>
        </row>
        <row r="932">
          <cell r="C932" t="str">
            <v>CELIS VILLANUEVA VICTOR ORLANDO</v>
          </cell>
          <cell r="D932">
            <v>46143</v>
          </cell>
          <cell r="E932" t="str">
            <v>B</v>
          </cell>
          <cell r="H932" t="e">
            <v>#N/A</v>
          </cell>
        </row>
        <row r="933">
          <cell r="C933" t="str">
            <v>CELIS VILLANUEVA VICTOR ORLANDO</v>
          </cell>
          <cell r="D933">
            <v>46144</v>
          </cell>
          <cell r="E933" t="str">
            <v>B</v>
          </cell>
          <cell r="H933" t="e">
            <v>#N/A</v>
          </cell>
        </row>
        <row r="934">
          <cell r="C934" t="str">
            <v>CELIS VILLANUEVA VICTOR ORLANDO</v>
          </cell>
          <cell r="D934">
            <v>46145</v>
          </cell>
          <cell r="E934" t="str">
            <v>B</v>
          </cell>
          <cell r="H934" t="e">
            <v>#N/A</v>
          </cell>
        </row>
        <row r="935">
          <cell r="C935" t="str">
            <v>CELIS VILLANUEVA VICTOR ORLANDO</v>
          </cell>
          <cell r="D935">
            <v>46146</v>
          </cell>
          <cell r="E935" t="str">
            <v>B</v>
          </cell>
          <cell r="H935" t="e">
            <v>#N/A</v>
          </cell>
        </row>
        <row r="936">
          <cell r="C936" t="str">
            <v>CELIS VILLANUEVA VICTOR ORLANDO</v>
          </cell>
          <cell r="D936">
            <v>46147</v>
          </cell>
          <cell r="E936" t="str">
            <v>B</v>
          </cell>
          <cell r="H936" t="e">
            <v>#N/A</v>
          </cell>
        </row>
        <row r="937">
          <cell r="C937" t="str">
            <v>CELIS VILLANUEVA VICTOR ORLANDO</v>
          </cell>
          <cell r="D937">
            <v>46148</v>
          </cell>
          <cell r="E937" t="str">
            <v>B</v>
          </cell>
          <cell r="H937" t="e">
            <v>#N/A</v>
          </cell>
        </row>
        <row r="938">
          <cell r="C938" t="str">
            <v>CELIS VILLANUEVA VICTOR ORLANDO</v>
          </cell>
          <cell r="D938">
            <v>46149</v>
          </cell>
          <cell r="E938" t="str">
            <v>B</v>
          </cell>
          <cell r="H938" t="e">
            <v>#N/A</v>
          </cell>
        </row>
        <row r="939">
          <cell r="C939" t="str">
            <v>CELIS VILLANUEVA VICTOR ORLANDO</v>
          </cell>
          <cell r="D939">
            <v>46150</v>
          </cell>
          <cell r="E939" t="str">
            <v>B</v>
          </cell>
          <cell r="H939" t="e">
            <v>#N/A</v>
          </cell>
        </row>
        <row r="940">
          <cell r="C940" t="str">
            <v>CELIS VILLANUEVA VICTOR ORLANDO</v>
          </cell>
          <cell r="D940">
            <v>46151</v>
          </cell>
          <cell r="E940" t="str">
            <v>B</v>
          </cell>
          <cell r="H940" t="e">
            <v>#N/A</v>
          </cell>
        </row>
        <row r="941">
          <cell r="C941" t="str">
            <v>CELIS VILLANUEVA VICTOR ORLANDO</v>
          </cell>
          <cell r="D941">
            <v>46152</v>
          </cell>
          <cell r="E941" t="str">
            <v>B</v>
          </cell>
          <cell r="H941" t="e">
            <v>#N/A</v>
          </cell>
        </row>
        <row r="942">
          <cell r="C942" t="str">
            <v>CELIS VILLANUEVA VICTOR ORLANDO</v>
          </cell>
          <cell r="D942">
            <v>46153</v>
          </cell>
          <cell r="E942" t="str">
            <v>B</v>
          </cell>
          <cell r="H942" t="e">
            <v>#N/A</v>
          </cell>
        </row>
        <row r="943">
          <cell r="C943" t="str">
            <v>CELIS VILLANUEVA VICTOR ORLANDO</v>
          </cell>
          <cell r="D943">
            <v>46154</v>
          </cell>
          <cell r="E943" t="str">
            <v>B</v>
          </cell>
          <cell r="H943" t="e">
            <v>#N/A</v>
          </cell>
        </row>
        <row r="944">
          <cell r="C944" t="str">
            <v>CELIS VILLANUEVA VICTOR ORLANDO</v>
          </cell>
          <cell r="D944">
            <v>46155</v>
          </cell>
          <cell r="E944" t="str">
            <v>B</v>
          </cell>
          <cell r="H944" t="e">
            <v>#N/A</v>
          </cell>
        </row>
        <row r="945">
          <cell r="C945" t="str">
            <v>CELIS VILLANUEVA VICTOR ORLANDO</v>
          </cell>
          <cell r="D945">
            <v>46156</v>
          </cell>
          <cell r="E945" t="str">
            <v>B</v>
          </cell>
          <cell r="H945" t="e">
            <v>#N/A</v>
          </cell>
        </row>
        <row r="946">
          <cell r="C946" t="str">
            <v>CELIS VILLANUEVA VICTOR ORLANDO</v>
          </cell>
          <cell r="D946">
            <v>46157</v>
          </cell>
          <cell r="E946" t="str">
            <v>B</v>
          </cell>
          <cell r="H946" t="e">
            <v>#N/A</v>
          </cell>
        </row>
        <row r="947">
          <cell r="C947" t="str">
            <v>CELIS VILLANUEVA VICTOR ORLANDO</v>
          </cell>
          <cell r="D947">
            <v>46158</v>
          </cell>
          <cell r="E947" t="str">
            <v>B</v>
          </cell>
          <cell r="H947" t="e">
            <v>#N/A</v>
          </cell>
        </row>
        <row r="948">
          <cell r="C948" t="str">
            <v>CELIS VILLANUEVA VICTOR ORLANDO</v>
          </cell>
          <cell r="D948">
            <v>46159</v>
          </cell>
          <cell r="E948" t="str">
            <v>B</v>
          </cell>
          <cell r="H948" t="e">
            <v>#N/A</v>
          </cell>
        </row>
        <row r="949">
          <cell r="C949" t="str">
            <v>CELIS VILLANUEVA VICTOR ORLANDO</v>
          </cell>
          <cell r="D949">
            <v>46160</v>
          </cell>
          <cell r="E949" t="str">
            <v>B</v>
          </cell>
          <cell r="H949" t="e">
            <v>#N/A</v>
          </cell>
        </row>
        <row r="950">
          <cell r="C950" t="str">
            <v>CELIS VILLANUEVA VICTOR ORLANDO</v>
          </cell>
          <cell r="D950">
            <v>46161</v>
          </cell>
          <cell r="E950" t="str">
            <v>B</v>
          </cell>
          <cell r="H950" t="e">
            <v>#N/A</v>
          </cell>
        </row>
        <row r="951">
          <cell r="C951" t="str">
            <v>CELIS VILLANUEVA VICTOR ORLANDO</v>
          </cell>
          <cell r="D951">
            <v>46162</v>
          </cell>
          <cell r="E951" t="str">
            <v/>
          </cell>
          <cell r="H951" t="e">
            <v>#N/A</v>
          </cell>
        </row>
        <row r="952">
          <cell r="C952" t="str">
            <v>CELIS VILLANUEVA VICTOR ORLANDO</v>
          </cell>
          <cell r="D952">
            <v>46163</v>
          </cell>
          <cell r="E952" t="str">
            <v/>
          </cell>
          <cell r="H952" t="e">
            <v>#N/A</v>
          </cell>
        </row>
        <row r="953">
          <cell r="C953" t="str">
            <v>CELIS VILLANUEVA VICTOR ORLANDO</v>
          </cell>
          <cell r="D953">
            <v>46164</v>
          </cell>
          <cell r="E953" t="str">
            <v/>
          </cell>
          <cell r="H953" t="e">
            <v>#N/A</v>
          </cell>
        </row>
        <row r="954">
          <cell r="C954" t="str">
            <v>CELIS VILLANUEVA VICTOR ORLANDO</v>
          </cell>
          <cell r="D954">
            <v>46165</v>
          </cell>
          <cell r="E954" t="str">
            <v/>
          </cell>
          <cell r="H954" t="e">
            <v>#N/A</v>
          </cell>
        </row>
        <row r="955">
          <cell r="C955" t="str">
            <v>CELIS VILLANUEVA VICTOR ORLANDO</v>
          </cell>
          <cell r="D955">
            <v>46166</v>
          </cell>
          <cell r="E955" t="str">
            <v/>
          </cell>
          <cell r="H955" t="e">
            <v>#N/A</v>
          </cell>
        </row>
        <row r="956">
          <cell r="C956" t="str">
            <v>CELIS VILLANUEVA VICTOR ORLANDO</v>
          </cell>
          <cell r="D956">
            <v>46167</v>
          </cell>
          <cell r="E956" t="str">
            <v/>
          </cell>
          <cell r="H956" t="e">
            <v>#N/A</v>
          </cell>
        </row>
        <row r="957">
          <cell r="C957" t="str">
            <v>CELIS VILLANUEVA VICTOR ORLANDO</v>
          </cell>
          <cell r="D957">
            <v>46168</v>
          </cell>
          <cell r="E957" t="str">
            <v/>
          </cell>
          <cell r="H957" t="e">
            <v>#N/A</v>
          </cell>
        </row>
        <row r="958">
          <cell r="C958" t="str">
            <v>CELIS VILLANUEVA VICTOR ORLANDO</v>
          </cell>
          <cell r="D958">
            <v>46169</v>
          </cell>
          <cell r="E958" t="str">
            <v/>
          </cell>
          <cell r="H958" t="e">
            <v>#N/A</v>
          </cell>
        </row>
        <row r="959">
          <cell r="C959" t="str">
            <v>CELIS VILLANUEVA VICTOR ORLANDO</v>
          </cell>
          <cell r="D959">
            <v>46170</v>
          </cell>
          <cell r="E959" t="str">
            <v/>
          </cell>
          <cell r="H959" t="e">
            <v>#N/A</v>
          </cell>
        </row>
        <row r="960">
          <cell r="C960" t="str">
            <v>CELIS VILLANUEVA VICTOR ORLANDO</v>
          </cell>
          <cell r="D960">
            <v>46171</v>
          </cell>
          <cell r="E960" t="str">
            <v/>
          </cell>
          <cell r="H960" t="e">
            <v>#N/A</v>
          </cell>
        </row>
        <row r="961">
          <cell r="C961" t="str">
            <v>CELIS VILLANUEVA VICTOR ORLANDO</v>
          </cell>
          <cell r="D961">
            <v>46172</v>
          </cell>
          <cell r="E961" t="str">
            <v/>
          </cell>
          <cell r="H961" t="e">
            <v>#N/A</v>
          </cell>
        </row>
        <row r="962">
          <cell r="C962" t="str">
            <v>CELIS VILLANUEVA VICTOR ORLANDO</v>
          </cell>
          <cell r="D962">
            <v>46173</v>
          </cell>
          <cell r="E962" t="str">
            <v/>
          </cell>
          <cell r="H962" t="e">
            <v>#N/A</v>
          </cell>
        </row>
        <row r="963">
          <cell r="C963" t="str">
            <v>TERRONES JARA FREDY</v>
          </cell>
          <cell r="D963">
            <v>46143</v>
          </cell>
          <cell r="E963" t="str">
            <v>DNR</v>
          </cell>
          <cell r="H963" t="str">
            <v>No Remunerado</v>
          </cell>
        </row>
        <row r="964">
          <cell r="C964" t="str">
            <v>TERRONES JARA FREDY</v>
          </cell>
          <cell r="D964">
            <v>46144</v>
          </cell>
          <cell r="E964" t="str">
            <v>A</v>
          </cell>
          <cell r="H964" t="str">
            <v>Asistencia</v>
          </cell>
        </row>
        <row r="965">
          <cell r="C965" t="str">
            <v>TERRONES JARA FREDY</v>
          </cell>
          <cell r="D965">
            <v>46145</v>
          </cell>
          <cell r="E965" t="str">
            <v>DNR</v>
          </cell>
          <cell r="H965" t="str">
            <v>No Remunerado</v>
          </cell>
        </row>
        <row r="966">
          <cell r="C966" t="str">
            <v>TERRONES JARA FREDY</v>
          </cell>
          <cell r="D966">
            <v>46146</v>
          </cell>
          <cell r="E966" t="str">
            <v>A</v>
          </cell>
          <cell r="H966" t="str">
            <v>Asistencia</v>
          </cell>
        </row>
        <row r="967">
          <cell r="C967" t="str">
            <v>TERRONES JARA FREDY</v>
          </cell>
          <cell r="D967">
            <v>46147</v>
          </cell>
          <cell r="E967" t="str">
            <v>A</v>
          </cell>
          <cell r="H967" t="str">
            <v>Asistencia</v>
          </cell>
        </row>
        <row r="968">
          <cell r="C968" t="str">
            <v>TERRONES JARA FREDY</v>
          </cell>
          <cell r="D968">
            <v>46148</v>
          </cell>
          <cell r="E968" t="str">
            <v>A</v>
          </cell>
          <cell r="H968" t="str">
            <v>Asistencia</v>
          </cell>
        </row>
        <row r="969">
          <cell r="C969" t="str">
            <v>TERRONES JARA FREDY</v>
          </cell>
          <cell r="D969">
            <v>46149</v>
          </cell>
          <cell r="E969" t="str">
            <v>A</v>
          </cell>
          <cell r="H969" t="str">
            <v>Asistencia</v>
          </cell>
        </row>
        <row r="970">
          <cell r="C970" t="str">
            <v>TERRONES JARA FREDY</v>
          </cell>
          <cell r="D970">
            <v>46150</v>
          </cell>
          <cell r="E970" t="str">
            <v>A</v>
          </cell>
          <cell r="H970" t="str">
            <v>Asistencia</v>
          </cell>
        </row>
        <row r="971">
          <cell r="C971" t="str">
            <v>TERRONES JARA FREDY</v>
          </cell>
          <cell r="D971">
            <v>46151</v>
          </cell>
          <cell r="E971" t="str">
            <v>A</v>
          </cell>
          <cell r="H971" t="str">
            <v>Asistencia</v>
          </cell>
        </row>
        <row r="972">
          <cell r="C972" t="str">
            <v>TERRONES JARA FREDY</v>
          </cell>
          <cell r="D972">
            <v>46152</v>
          </cell>
          <cell r="E972" t="str">
            <v>DR</v>
          </cell>
          <cell r="H972" t="str">
            <v>D. Remunerado</v>
          </cell>
        </row>
        <row r="973">
          <cell r="C973" t="str">
            <v>TERRONES JARA FREDY</v>
          </cell>
          <cell r="D973">
            <v>46153</v>
          </cell>
          <cell r="E973" t="str">
            <v>A</v>
          </cell>
          <cell r="H973" t="str">
            <v>Asistencia</v>
          </cell>
        </row>
        <row r="974">
          <cell r="C974" t="str">
            <v>TERRONES JARA FREDY</v>
          </cell>
          <cell r="D974">
            <v>46154</v>
          </cell>
          <cell r="E974" t="str">
            <v>A</v>
          </cell>
          <cell r="H974" t="str">
            <v>Asistencia</v>
          </cell>
        </row>
        <row r="975">
          <cell r="C975" t="str">
            <v>TERRONES JARA FREDY</v>
          </cell>
          <cell r="D975">
            <v>46155</v>
          </cell>
          <cell r="E975" t="str">
            <v>A</v>
          </cell>
          <cell r="H975" t="str">
            <v>Asistencia</v>
          </cell>
        </row>
        <row r="976">
          <cell r="C976" t="str">
            <v>TERRONES JARA FREDY</v>
          </cell>
          <cell r="D976">
            <v>46156</v>
          </cell>
          <cell r="E976" t="str">
            <v>A</v>
          </cell>
          <cell r="H976" t="str">
            <v>Asistencia</v>
          </cell>
        </row>
        <row r="977">
          <cell r="C977" t="str">
            <v>TERRONES JARA FREDY</v>
          </cell>
          <cell r="D977">
            <v>46157</v>
          </cell>
          <cell r="E977" t="str">
            <v>A</v>
          </cell>
          <cell r="H977" t="str">
            <v>Asistencia</v>
          </cell>
        </row>
        <row r="978">
          <cell r="C978" t="str">
            <v>TERRONES JARA FREDY</v>
          </cell>
          <cell r="D978">
            <v>46158</v>
          </cell>
          <cell r="E978" t="str">
            <v>A</v>
          </cell>
          <cell r="H978" t="str">
            <v>Asistencia</v>
          </cell>
        </row>
        <row r="979">
          <cell r="C979" t="str">
            <v>TERRONES JARA FREDY</v>
          </cell>
          <cell r="D979">
            <v>46159</v>
          </cell>
          <cell r="E979" t="str">
            <v>DR</v>
          </cell>
          <cell r="H979" t="str">
            <v>D. Remunerado</v>
          </cell>
        </row>
        <row r="980">
          <cell r="C980" t="str">
            <v>TERRONES JARA FREDY</v>
          </cell>
          <cell r="D980">
            <v>46160</v>
          </cell>
          <cell r="E980" t="str">
            <v>A</v>
          </cell>
          <cell r="H980" t="str">
            <v>Asistencia</v>
          </cell>
        </row>
        <row r="981">
          <cell r="C981" t="str">
            <v>TERRONES JARA FREDY</v>
          </cell>
          <cell r="D981">
            <v>46161</v>
          </cell>
          <cell r="E981" t="str">
            <v>A</v>
          </cell>
          <cell r="H981" t="str">
            <v>Asistencia</v>
          </cell>
        </row>
        <row r="982">
          <cell r="C982" t="str">
            <v>TERRONES JARA FREDY</v>
          </cell>
          <cell r="D982">
            <v>46162</v>
          </cell>
          <cell r="E982" t="str">
            <v>A</v>
          </cell>
          <cell r="H982" t="str">
            <v>Asistencia</v>
          </cell>
        </row>
        <row r="983">
          <cell r="C983" t="str">
            <v>TERRONES JARA FREDY</v>
          </cell>
          <cell r="D983">
            <v>46163</v>
          </cell>
          <cell r="E983" t="str">
            <v>A</v>
          </cell>
          <cell r="H983" t="str">
            <v>Asistencia</v>
          </cell>
        </row>
        <row r="984">
          <cell r="C984" t="str">
            <v>TERRONES JARA FREDY</v>
          </cell>
          <cell r="D984">
            <v>46164</v>
          </cell>
          <cell r="E984" t="str">
            <v>A</v>
          </cell>
          <cell r="H984" t="str">
            <v>Asistencia</v>
          </cell>
        </row>
        <row r="985">
          <cell r="C985" t="str">
            <v>TERRONES JARA FREDY</v>
          </cell>
          <cell r="D985">
            <v>46165</v>
          </cell>
          <cell r="E985" t="str">
            <v>A</v>
          </cell>
          <cell r="H985" t="str">
            <v>Asistencia</v>
          </cell>
        </row>
        <row r="986">
          <cell r="C986" t="str">
            <v>TERRONES JARA FREDY</v>
          </cell>
          <cell r="D986">
            <v>46166</v>
          </cell>
          <cell r="E986" t="str">
            <v>DR</v>
          </cell>
          <cell r="H986" t="str">
            <v>D. Remunerado</v>
          </cell>
        </row>
        <row r="987">
          <cell r="C987" t="str">
            <v>TERRONES JARA FREDY</v>
          </cell>
          <cell r="D987">
            <v>46167</v>
          </cell>
          <cell r="E987" t="str">
            <v>A</v>
          </cell>
          <cell r="H987" t="str">
            <v>Asistencia</v>
          </cell>
        </row>
        <row r="988">
          <cell r="C988" t="str">
            <v>TERRONES JARA FREDY</v>
          </cell>
          <cell r="D988">
            <v>46168</v>
          </cell>
          <cell r="E988" t="str">
            <v>A</v>
          </cell>
          <cell r="H988" t="str">
            <v>Asistencia</v>
          </cell>
        </row>
        <row r="989">
          <cell r="C989" t="str">
            <v>TERRONES JARA FREDY</v>
          </cell>
          <cell r="D989">
            <v>46169</v>
          </cell>
          <cell r="E989" t="str">
            <v>A</v>
          </cell>
          <cell r="H989" t="str">
            <v>Asistencia</v>
          </cell>
        </row>
        <row r="990">
          <cell r="C990" t="str">
            <v>TERRONES JARA FREDY</v>
          </cell>
          <cell r="D990">
            <v>46170</v>
          </cell>
          <cell r="E990" t="str">
            <v>A</v>
          </cell>
          <cell r="H990" t="str">
            <v>Asistencia</v>
          </cell>
        </row>
        <row r="991">
          <cell r="C991" t="str">
            <v>TERRONES JARA FREDY</v>
          </cell>
          <cell r="D991">
            <v>46171</v>
          </cell>
          <cell r="E991" t="str">
            <v>A</v>
          </cell>
          <cell r="H991" t="str">
            <v>Asistencia</v>
          </cell>
        </row>
        <row r="992">
          <cell r="C992" t="str">
            <v>TERRONES JARA FREDY</v>
          </cell>
          <cell r="D992">
            <v>46172</v>
          </cell>
          <cell r="E992" t="str">
            <v>A</v>
          </cell>
          <cell r="H992" t="str">
            <v>Asistencia</v>
          </cell>
        </row>
        <row r="993">
          <cell r="C993" t="str">
            <v>TERRONES JARA FREDY</v>
          </cell>
          <cell r="D993">
            <v>46173</v>
          </cell>
          <cell r="E993" t="str">
            <v>H/A</v>
          </cell>
          <cell r="H993" t="e">
            <v>#N/A</v>
          </cell>
        </row>
        <row r="994">
          <cell r="C994" t="str">
            <v>MONTOYA NAMOC JORGE LUIS</v>
          </cell>
          <cell r="D994">
            <v>46143</v>
          </cell>
          <cell r="E994" t="str">
            <v>A</v>
          </cell>
          <cell r="H994" t="str">
            <v>Asistencia</v>
          </cell>
        </row>
        <row r="995">
          <cell r="C995" t="str">
            <v>MONTOYA NAMOC JORGE LUIS</v>
          </cell>
          <cell r="D995">
            <v>46144</v>
          </cell>
          <cell r="E995" t="str">
            <v>A</v>
          </cell>
          <cell r="H995" t="str">
            <v>Asistencia</v>
          </cell>
        </row>
        <row r="996">
          <cell r="C996" t="str">
            <v>MONTOYA NAMOC JORGE LUIS</v>
          </cell>
          <cell r="D996">
            <v>46145</v>
          </cell>
          <cell r="E996" t="str">
            <v>DNR</v>
          </cell>
          <cell r="H996" t="str">
            <v>No Remunerado</v>
          </cell>
        </row>
        <row r="997">
          <cell r="C997" t="str">
            <v>MONTOYA NAMOC JORGE LUIS</v>
          </cell>
          <cell r="D997">
            <v>46146</v>
          </cell>
          <cell r="E997" t="str">
            <v>A</v>
          </cell>
          <cell r="H997" t="str">
            <v>Asistencia</v>
          </cell>
        </row>
        <row r="998">
          <cell r="C998" t="str">
            <v>MONTOYA NAMOC JORGE LUIS</v>
          </cell>
          <cell r="D998">
            <v>46147</v>
          </cell>
          <cell r="E998" t="str">
            <v>A</v>
          </cell>
          <cell r="H998" t="str">
            <v>Asistencia</v>
          </cell>
        </row>
        <row r="999">
          <cell r="C999" t="str">
            <v>MONTOYA NAMOC JORGE LUIS</v>
          </cell>
          <cell r="D999">
            <v>46148</v>
          </cell>
          <cell r="E999" t="str">
            <v>A</v>
          </cell>
          <cell r="H999" t="str">
            <v>Asistencia</v>
          </cell>
        </row>
        <row r="1000">
          <cell r="C1000" t="str">
            <v>MONTOYA NAMOC JORGE LUIS</v>
          </cell>
          <cell r="D1000">
            <v>46149</v>
          </cell>
          <cell r="E1000" t="str">
            <v>A</v>
          </cell>
          <cell r="H1000" t="str">
            <v>Asistencia</v>
          </cell>
        </row>
        <row r="1001">
          <cell r="C1001" t="str">
            <v>MONTOYA NAMOC JORGE LUIS</v>
          </cell>
          <cell r="D1001">
            <v>46150</v>
          </cell>
          <cell r="E1001" t="str">
            <v>A</v>
          </cell>
          <cell r="H1001" t="str">
            <v>Asistencia</v>
          </cell>
        </row>
        <row r="1002">
          <cell r="C1002" t="str">
            <v>MONTOYA NAMOC JORGE LUIS</v>
          </cell>
          <cell r="D1002">
            <v>46151</v>
          </cell>
          <cell r="E1002" t="str">
            <v>A</v>
          </cell>
          <cell r="H1002" t="str">
            <v>Asistencia</v>
          </cell>
        </row>
        <row r="1003">
          <cell r="C1003" t="str">
            <v>MONTOYA NAMOC JORGE LUIS</v>
          </cell>
          <cell r="D1003">
            <v>46152</v>
          </cell>
          <cell r="E1003" t="str">
            <v>DR</v>
          </cell>
          <cell r="H1003" t="str">
            <v>D. Remunerado</v>
          </cell>
        </row>
        <row r="1004">
          <cell r="C1004" t="str">
            <v>MONTOYA NAMOC JORGE LUIS</v>
          </cell>
          <cell r="D1004">
            <v>46153</v>
          </cell>
          <cell r="E1004" t="str">
            <v>A</v>
          </cell>
          <cell r="H1004" t="str">
            <v>Asistencia</v>
          </cell>
        </row>
        <row r="1005">
          <cell r="C1005" t="str">
            <v>MONTOYA NAMOC JORGE LUIS</v>
          </cell>
          <cell r="D1005">
            <v>46154</v>
          </cell>
          <cell r="E1005" t="str">
            <v>A</v>
          </cell>
          <cell r="H1005" t="str">
            <v>Asistencia</v>
          </cell>
        </row>
        <row r="1006">
          <cell r="C1006" t="str">
            <v>MONTOYA NAMOC JORGE LUIS</v>
          </cell>
          <cell r="D1006">
            <v>46155</v>
          </cell>
          <cell r="E1006" t="str">
            <v>A</v>
          </cell>
          <cell r="H1006" t="str">
            <v>Asistencia</v>
          </cell>
        </row>
        <row r="1007">
          <cell r="C1007" t="str">
            <v>MONTOYA NAMOC JORGE LUIS</v>
          </cell>
          <cell r="D1007">
            <v>46156</v>
          </cell>
          <cell r="E1007" t="str">
            <v>A</v>
          </cell>
          <cell r="H1007" t="str">
            <v>Asistencia</v>
          </cell>
        </row>
        <row r="1008">
          <cell r="C1008" t="str">
            <v>MONTOYA NAMOC JORGE LUIS</v>
          </cell>
          <cell r="D1008">
            <v>46157</v>
          </cell>
          <cell r="E1008" t="str">
            <v>A</v>
          </cell>
          <cell r="H1008" t="str">
            <v>Asistencia</v>
          </cell>
        </row>
        <row r="1009">
          <cell r="C1009" t="str">
            <v>MONTOYA NAMOC JORGE LUIS</v>
          </cell>
          <cell r="D1009">
            <v>46158</v>
          </cell>
          <cell r="E1009" t="str">
            <v>A</v>
          </cell>
          <cell r="H1009" t="str">
            <v>Asistencia</v>
          </cell>
        </row>
        <row r="1010">
          <cell r="C1010" t="str">
            <v>MONTOYA NAMOC JORGE LUIS</v>
          </cell>
          <cell r="D1010">
            <v>46159</v>
          </cell>
          <cell r="E1010" t="str">
            <v>DR</v>
          </cell>
          <cell r="H1010" t="str">
            <v>D. Remunerado</v>
          </cell>
        </row>
        <row r="1011">
          <cell r="C1011" t="str">
            <v>MONTOYA NAMOC JORGE LUIS</v>
          </cell>
          <cell r="D1011">
            <v>46160</v>
          </cell>
          <cell r="E1011" t="str">
            <v>A</v>
          </cell>
          <cell r="H1011" t="str">
            <v>Asistencia</v>
          </cell>
        </row>
        <row r="1012">
          <cell r="C1012" t="str">
            <v>MONTOYA NAMOC JORGE LUIS</v>
          </cell>
          <cell r="D1012">
            <v>46161</v>
          </cell>
          <cell r="E1012" t="str">
            <v>A</v>
          </cell>
          <cell r="H1012" t="str">
            <v>Asistencia</v>
          </cell>
        </row>
        <row r="1013">
          <cell r="C1013" t="str">
            <v>MONTOYA NAMOC JORGE LUIS</v>
          </cell>
          <cell r="D1013">
            <v>46162</v>
          </cell>
          <cell r="E1013" t="str">
            <v>A</v>
          </cell>
          <cell r="H1013" t="str">
            <v>Asistencia</v>
          </cell>
        </row>
        <row r="1014">
          <cell r="C1014" t="str">
            <v>MONTOYA NAMOC JORGE LUIS</v>
          </cell>
          <cell r="D1014">
            <v>46163</v>
          </cell>
          <cell r="E1014" t="str">
            <v>A</v>
          </cell>
          <cell r="H1014" t="str">
            <v>Asistencia</v>
          </cell>
        </row>
        <row r="1015">
          <cell r="C1015" t="str">
            <v>MONTOYA NAMOC JORGE LUIS</v>
          </cell>
          <cell r="D1015">
            <v>46164</v>
          </cell>
          <cell r="E1015" t="str">
            <v>A</v>
          </cell>
          <cell r="H1015" t="str">
            <v>Asistencia</v>
          </cell>
        </row>
        <row r="1016">
          <cell r="C1016" t="str">
            <v>MONTOYA NAMOC JORGE LUIS</v>
          </cell>
          <cell r="D1016">
            <v>46165</v>
          </cell>
          <cell r="E1016" t="str">
            <v>A</v>
          </cell>
          <cell r="H1016" t="str">
            <v>Asistencia</v>
          </cell>
        </row>
        <row r="1017">
          <cell r="C1017" t="str">
            <v>MONTOYA NAMOC JORGE LUIS</v>
          </cell>
          <cell r="D1017">
            <v>46166</v>
          </cell>
          <cell r="E1017" t="str">
            <v>DR</v>
          </cell>
          <cell r="H1017" t="str">
            <v>D. Remunerado</v>
          </cell>
        </row>
        <row r="1018">
          <cell r="C1018" t="str">
            <v>MONTOYA NAMOC JORGE LUIS</v>
          </cell>
          <cell r="D1018">
            <v>46167</v>
          </cell>
          <cell r="E1018" t="str">
            <v>A</v>
          </cell>
          <cell r="H1018" t="str">
            <v>Asistencia</v>
          </cell>
        </row>
        <row r="1019">
          <cell r="C1019" t="str">
            <v>MONTOYA NAMOC JORGE LUIS</v>
          </cell>
          <cell r="D1019">
            <v>46168</v>
          </cell>
          <cell r="E1019" t="str">
            <v>A</v>
          </cell>
          <cell r="H1019" t="str">
            <v>Asistencia</v>
          </cell>
        </row>
        <row r="1020">
          <cell r="C1020" t="str">
            <v>MONTOYA NAMOC JORGE LUIS</v>
          </cell>
          <cell r="D1020">
            <v>46169</v>
          </cell>
          <cell r="E1020" t="str">
            <v>A</v>
          </cell>
          <cell r="H1020" t="str">
            <v>Asistencia</v>
          </cell>
        </row>
        <row r="1021">
          <cell r="C1021" t="str">
            <v>MONTOYA NAMOC JORGE LUIS</v>
          </cell>
          <cell r="D1021">
            <v>46170</v>
          </cell>
          <cell r="E1021" t="str">
            <v>A</v>
          </cell>
          <cell r="H1021" t="str">
            <v>Asistencia</v>
          </cell>
        </row>
        <row r="1022">
          <cell r="C1022" t="str">
            <v>MONTOYA NAMOC JORGE LUIS</v>
          </cell>
          <cell r="D1022">
            <v>46171</v>
          </cell>
          <cell r="E1022" t="str">
            <v>A</v>
          </cell>
          <cell r="H1022" t="str">
            <v>Asistencia</v>
          </cell>
        </row>
        <row r="1023">
          <cell r="C1023" t="str">
            <v>MONTOYA NAMOC JORGE LUIS</v>
          </cell>
          <cell r="D1023">
            <v>46172</v>
          </cell>
          <cell r="E1023" t="str">
            <v>A</v>
          </cell>
          <cell r="H1023" t="str">
            <v>Asistencia</v>
          </cell>
        </row>
        <row r="1024">
          <cell r="C1024" t="str">
            <v>MONTOYA NAMOC JORGE LUIS</v>
          </cell>
          <cell r="D1024">
            <v>46173</v>
          </cell>
          <cell r="E1024" t="str">
            <v>DR</v>
          </cell>
          <cell r="H1024" t="str">
            <v>D. Remunerado</v>
          </cell>
        </row>
        <row r="1025">
          <cell r="C1025" t="str">
            <v>CONCEPCIÓN ZEVALLOS ARMANDO</v>
          </cell>
          <cell r="D1025">
            <v>46143</v>
          </cell>
          <cell r="E1025" t="str">
            <v>A</v>
          </cell>
          <cell r="H1025" t="str">
            <v>Asistencia</v>
          </cell>
        </row>
        <row r="1026">
          <cell r="C1026" t="str">
            <v>CONCEPCIÓN ZEVALLOS ARMANDO</v>
          </cell>
          <cell r="D1026">
            <v>46144</v>
          </cell>
          <cell r="E1026" t="str">
            <v>A</v>
          </cell>
          <cell r="H1026" t="str">
            <v>Asistencia</v>
          </cell>
        </row>
        <row r="1027">
          <cell r="C1027" t="str">
            <v>CONCEPCIÓN ZEVALLOS ARMANDO</v>
          </cell>
          <cell r="D1027">
            <v>46145</v>
          </cell>
          <cell r="E1027" t="str">
            <v>DNR</v>
          </cell>
          <cell r="H1027" t="str">
            <v>No Remunerado</v>
          </cell>
        </row>
        <row r="1028">
          <cell r="C1028" t="str">
            <v>CONCEPCIÓN ZEVALLOS ARMANDO</v>
          </cell>
          <cell r="D1028">
            <v>46146</v>
          </cell>
          <cell r="E1028" t="str">
            <v>A</v>
          </cell>
          <cell r="H1028" t="str">
            <v>Asistencia</v>
          </cell>
        </row>
        <row r="1029">
          <cell r="C1029" t="str">
            <v>CONCEPCIÓN ZEVALLOS ARMANDO</v>
          </cell>
          <cell r="D1029">
            <v>46147</v>
          </cell>
          <cell r="E1029" t="str">
            <v>A</v>
          </cell>
          <cell r="H1029" t="str">
            <v>Asistencia</v>
          </cell>
        </row>
        <row r="1030">
          <cell r="C1030" t="str">
            <v>CONCEPCIÓN ZEVALLOS ARMANDO</v>
          </cell>
          <cell r="D1030">
            <v>46148</v>
          </cell>
          <cell r="E1030" t="str">
            <v>A</v>
          </cell>
          <cell r="H1030" t="str">
            <v>Asistencia</v>
          </cell>
        </row>
        <row r="1031">
          <cell r="C1031" t="str">
            <v>CONCEPCIÓN ZEVALLOS ARMANDO</v>
          </cell>
          <cell r="D1031">
            <v>46149</v>
          </cell>
          <cell r="E1031" t="str">
            <v>A</v>
          </cell>
          <cell r="H1031" t="str">
            <v>Asistencia</v>
          </cell>
        </row>
        <row r="1032">
          <cell r="C1032" t="str">
            <v>CONCEPCIÓN ZEVALLOS ARMANDO</v>
          </cell>
          <cell r="D1032">
            <v>46150</v>
          </cell>
          <cell r="E1032" t="str">
            <v>A</v>
          </cell>
          <cell r="H1032" t="str">
            <v>Asistencia</v>
          </cell>
        </row>
        <row r="1033">
          <cell r="C1033" t="str">
            <v>CONCEPCIÓN ZEVALLOS ARMANDO</v>
          </cell>
          <cell r="D1033">
            <v>46151</v>
          </cell>
          <cell r="E1033" t="str">
            <v>A</v>
          </cell>
          <cell r="H1033" t="str">
            <v>Asistencia</v>
          </cell>
        </row>
        <row r="1034">
          <cell r="C1034" t="str">
            <v>CONCEPCIÓN ZEVALLOS ARMANDO</v>
          </cell>
          <cell r="D1034">
            <v>46152</v>
          </cell>
          <cell r="E1034" t="str">
            <v>DR</v>
          </cell>
          <cell r="H1034" t="str">
            <v>D. Remunerado</v>
          </cell>
        </row>
        <row r="1035">
          <cell r="C1035" t="str">
            <v>CONCEPCIÓN ZEVALLOS ARMANDO</v>
          </cell>
          <cell r="D1035">
            <v>46153</v>
          </cell>
          <cell r="E1035" t="str">
            <v>A</v>
          </cell>
          <cell r="H1035" t="str">
            <v>Asistencia</v>
          </cell>
        </row>
        <row r="1036">
          <cell r="C1036" t="str">
            <v>CONCEPCIÓN ZEVALLOS ARMANDO</v>
          </cell>
          <cell r="D1036">
            <v>46154</v>
          </cell>
          <cell r="E1036" t="str">
            <v>A</v>
          </cell>
          <cell r="H1036" t="str">
            <v>Asistencia</v>
          </cell>
        </row>
        <row r="1037">
          <cell r="C1037" t="str">
            <v>CONCEPCIÓN ZEVALLOS ARMANDO</v>
          </cell>
          <cell r="D1037">
            <v>46155</v>
          </cell>
          <cell r="E1037" t="str">
            <v>A</v>
          </cell>
          <cell r="H1037" t="str">
            <v>Asistencia</v>
          </cell>
        </row>
        <row r="1038">
          <cell r="C1038" t="str">
            <v>CONCEPCIÓN ZEVALLOS ARMANDO</v>
          </cell>
          <cell r="D1038">
            <v>46156</v>
          </cell>
          <cell r="E1038" t="str">
            <v>A</v>
          </cell>
          <cell r="H1038" t="str">
            <v>Asistencia</v>
          </cell>
        </row>
        <row r="1039">
          <cell r="C1039" t="str">
            <v>CONCEPCIÓN ZEVALLOS ARMANDO</v>
          </cell>
          <cell r="D1039">
            <v>46157</v>
          </cell>
          <cell r="E1039" t="str">
            <v>A</v>
          </cell>
          <cell r="H1039" t="str">
            <v>Asistencia</v>
          </cell>
        </row>
        <row r="1040">
          <cell r="C1040" t="str">
            <v>CONCEPCIÓN ZEVALLOS ARMANDO</v>
          </cell>
          <cell r="D1040">
            <v>46158</v>
          </cell>
          <cell r="E1040" t="str">
            <v>A</v>
          </cell>
          <cell r="H1040" t="str">
            <v>Asistencia</v>
          </cell>
        </row>
        <row r="1041">
          <cell r="C1041" t="str">
            <v>CONCEPCIÓN ZEVALLOS ARMANDO</v>
          </cell>
          <cell r="D1041">
            <v>46159</v>
          </cell>
          <cell r="E1041" t="str">
            <v>DR</v>
          </cell>
          <cell r="H1041" t="str">
            <v>D. Remunerado</v>
          </cell>
        </row>
        <row r="1042">
          <cell r="C1042" t="str">
            <v>CONCEPCIÓN ZEVALLOS ARMANDO</v>
          </cell>
          <cell r="D1042">
            <v>46160</v>
          </cell>
          <cell r="E1042" t="str">
            <v>A</v>
          </cell>
          <cell r="H1042" t="str">
            <v>Asistencia</v>
          </cell>
        </row>
        <row r="1043">
          <cell r="C1043" t="str">
            <v>CONCEPCIÓN ZEVALLOS ARMANDO</v>
          </cell>
          <cell r="D1043">
            <v>46161</v>
          </cell>
          <cell r="E1043" t="str">
            <v>A</v>
          </cell>
          <cell r="H1043" t="str">
            <v>Asistencia</v>
          </cell>
        </row>
        <row r="1044">
          <cell r="C1044" t="str">
            <v>CONCEPCIÓN ZEVALLOS ARMANDO</v>
          </cell>
          <cell r="D1044">
            <v>46162</v>
          </cell>
          <cell r="E1044" t="str">
            <v>A</v>
          </cell>
          <cell r="H1044" t="str">
            <v>Asistencia</v>
          </cell>
        </row>
        <row r="1045">
          <cell r="C1045" t="str">
            <v>CONCEPCIÓN ZEVALLOS ARMANDO</v>
          </cell>
          <cell r="D1045">
            <v>46163</v>
          </cell>
          <cell r="E1045" t="str">
            <v>A</v>
          </cell>
          <cell r="H1045" t="str">
            <v>Asistencia</v>
          </cell>
        </row>
        <row r="1046">
          <cell r="C1046" t="str">
            <v>CONCEPCIÓN ZEVALLOS ARMANDO</v>
          </cell>
          <cell r="D1046">
            <v>46164</v>
          </cell>
          <cell r="E1046" t="str">
            <v>A</v>
          </cell>
          <cell r="H1046" t="str">
            <v>Asistencia</v>
          </cell>
        </row>
        <row r="1047">
          <cell r="C1047" t="str">
            <v>CONCEPCIÓN ZEVALLOS ARMANDO</v>
          </cell>
          <cell r="D1047">
            <v>46165</v>
          </cell>
          <cell r="E1047" t="str">
            <v>A</v>
          </cell>
          <cell r="H1047" t="str">
            <v>Asistencia</v>
          </cell>
        </row>
        <row r="1048">
          <cell r="C1048" t="str">
            <v>CONCEPCIÓN ZEVALLOS ARMANDO</v>
          </cell>
          <cell r="D1048">
            <v>46166</v>
          </cell>
          <cell r="E1048" t="str">
            <v>DR</v>
          </cell>
          <cell r="H1048" t="str">
            <v>D. Remunerado</v>
          </cell>
        </row>
        <row r="1049">
          <cell r="C1049" t="str">
            <v>CONCEPCIÓN ZEVALLOS ARMANDO</v>
          </cell>
          <cell r="D1049">
            <v>46167</v>
          </cell>
          <cell r="E1049" t="str">
            <v>A</v>
          </cell>
          <cell r="H1049" t="str">
            <v>Asistencia</v>
          </cell>
        </row>
        <row r="1050">
          <cell r="C1050" t="str">
            <v>CONCEPCIÓN ZEVALLOS ARMANDO</v>
          </cell>
          <cell r="D1050">
            <v>46168</v>
          </cell>
          <cell r="E1050" t="str">
            <v>A</v>
          </cell>
          <cell r="H1050" t="str">
            <v>Asistencia</v>
          </cell>
        </row>
        <row r="1051">
          <cell r="C1051" t="str">
            <v>CONCEPCIÓN ZEVALLOS ARMANDO</v>
          </cell>
          <cell r="D1051">
            <v>46169</v>
          </cell>
          <cell r="E1051" t="str">
            <v>A</v>
          </cell>
          <cell r="H1051" t="str">
            <v>Asistencia</v>
          </cell>
        </row>
        <row r="1052">
          <cell r="C1052" t="str">
            <v>CONCEPCIÓN ZEVALLOS ARMANDO</v>
          </cell>
          <cell r="D1052">
            <v>46170</v>
          </cell>
          <cell r="E1052" t="str">
            <v>A</v>
          </cell>
          <cell r="H1052" t="str">
            <v>Asistencia</v>
          </cell>
        </row>
        <row r="1053">
          <cell r="C1053" t="str">
            <v>CONCEPCIÓN ZEVALLOS ARMANDO</v>
          </cell>
          <cell r="D1053">
            <v>46171</v>
          </cell>
          <cell r="E1053" t="str">
            <v>A</v>
          </cell>
          <cell r="H1053" t="str">
            <v>Asistencia</v>
          </cell>
        </row>
        <row r="1054">
          <cell r="C1054" t="str">
            <v>CONCEPCIÓN ZEVALLOS ARMANDO</v>
          </cell>
          <cell r="D1054">
            <v>46172</v>
          </cell>
          <cell r="E1054" t="str">
            <v>A</v>
          </cell>
          <cell r="H1054" t="str">
            <v>Asistencia</v>
          </cell>
        </row>
        <row r="1055">
          <cell r="C1055" t="str">
            <v>CONCEPCIÓN ZEVALLOS ARMANDO</v>
          </cell>
          <cell r="D1055">
            <v>46173</v>
          </cell>
          <cell r="E1055" t="str">
            <v>DR</v>
          </cell>
          <cell r="H1055" t="str">
            <v>D. Remunerado</v>
          </cell>
        </row>
        <row r="1056">
          <cell r="C1056" t="str">
            <v>DIAZ DIAZ JUNNIOR</v>
          </cell>
          <cell r="D1056">
            <v>46143</v>
          </cell>
          <cell r="E1056" t="str">
            <v>DNR</v>
          </cell>
          <cell r="H1056" t="str">
            <v>No Remunerado</v>
          </cell>
        </row>
        <row r="1057">
          <cell r="C1057" t="str">
            <v>DIAZ DIAZ JUNNIOR</v>
          </cell>
          <cell r="D1057">
            <v>46144</v>
          </cell>
          <cell r="E1057" t="str">
            <v>A</v>
          </cell>
          <cell r="H1057" t="str">
            <v>Asistencia</v>
          </cell>
        </row>
        <row r="1058">
          <cell r="C1058" t="str">
            <v>DIAZ DIAZ JUNNIOR</v>
          </cell>
          <cell r="D1058">
            <v>46145</v>
          </cell>
          <cell r="E1058" t="str">
            <v>DNR</v>
          </cell>
          <cell r="H1058" t="str">
            <v>No Remunerado</v>
          </cell>
        </row>
        <row r="1059">
          <cell r="C1059" t="str">
            <v>DIAZ DIAZ JUNNIOR</v>
          </cell>
          <cell r="D1059">
            <v>46146</v>
          </cell>
          <cell r="E1059" t="str">
            <v>A</v>
          </cell>
          <cell r="H1059" t="str">
            <v>Asistencia</v>
          </cell>
        </row>
        <row r="1060">
          <cell r="C1060" t="str">
            <v>DIAZ DIAZ JUNNIOR</v>
          </cell>
          <cell r="D1060">
            <v>46147</v>
          </cell>
          <cell r="E1060" t="str">
            <v>A</v>
          </cell>
          <cell r="H1060" t="str">
            <v>Asistencia</v>
          </cell>
        </row>
        <row r="1061">
          <cell r="C1061" t="str">
            <v>DIAZ DIAZ JUNNIOR</v>
          </cell>
          <cell r="D1061">
            <v>46148</v>
          </cell>
          <cell r="E1061" t="str">
            <v>A</v>
          </cell>
          <cell r="H1061" t="str">
            <v>Asistencia</v>
          </cell>
        </row>
        <row r="1062">
          <cell r="C1062" t="str">
            <v>DIAZ DIAZ JUNNIOR</v>
          </cell>
          <cell r="D1062">
            <v>46149</v>
          </cell>
          <cell r="E1062" t="str">
            <v>A</v>
          </cell>
          <cell r="H1062" t="str">
            <v>Asistencia</v>
          </cell>
        </row>
        <row r="1063">
          <cell r="C1063" t="str">
            <v>DIAZ DIAZ JUNNIOR</v>
          </cell>
          <cell r="D1063">
            <v>46150</v>
          </cell>
          <cell r="E1063" t="str">
            <v>A</v>
          </cell>
          <cell r="H1063" t="str">
            <v>Asistencia</v>
          </cell>
        </row>
        <row r="1064">
          <cell r="C1064" t="str">
            <v>DIAZ DIAZ JUNNIOR</v>
          </cell>
          <cell r="D1064">
            <v>46151</v>
          </cell>
          <cell r="E1064" t="str">
            <v>A</v>
          </cell>
          <cell r="H1064" t="str">
            <v>Asistencia</v>
          </cell>
        </row>
        <row r="1065">
          <cell r="C1065" t="str">
            <v>DIAZ DIAZ JUNNIOR</v>
          </cell>
          <cell r="D1065">
            <v>46152</v>
          </cell>
          <cell r="E1065" t="str">
            <v>DR</v>
          </cell>
          <cell r="H1065" t="str">
            <v>D. Remunerado</v>
          </cell>
        </row>
        <row r="1066">
          <cell r="C1066" t="str">
            <v>DIAZ DIAZ JUNNIOR</v>
          </cell>
          <cell r="D1066">
            <v>46153</v>
          </cell>
          <cell r="E1066" t="str">
            <v>A</v>
          </cell>
          <cell r="H1066" t="str">
            <v>Asistencia</v>
          </cell>
        </row>
        <row r="1067">
          <cell r="C1067" t="str">
            <v>DIAZ DIAZ JUNNIOR</v>
          </cell>
          <cell r="D1067">
            <v>46154</v>
          </cell>
          <cell r="E1067" t="str">
            <v>A</v>
          </cell>
          <cell r="H1067" t="str">
            <v>Asistencia</v>
          </cell>
        </row>
        <row r="1068">
          <cell r="C1068" t="str">
            <v>DIAZ DIAZ JUNNIOR</v>
          </cell>
          <cell r="D1068">
            <v>46155</v>
          </cell>
          <cell r="E1068" t="str">
            <v>A</v>
          </cell>
          <cell r="H1068" t="str">
            <v>Asistencia</v>
          </cell>
        </row>
        <row r="1069">
          <cell r="C1069" t="str">
            <v>DIAZ DIAZ JUNNIOR</v>
          </cell>
          <cell r="D1069">
            <v>46156</v>
          </cell>
          <cell r="E1069" t="str">
            <v>A</v>
          </cell>
          <cell r="H1069" t="str">
            <v>Asistencia</v>
          </cell>
        </row>
        <row r="1070">
          <cell r="C1070" t="str">
            <v>DIAZ DIAZ JUNNIOR</v>
          </cell>
          <cell r="D1070">
            <v>46157</v>
          </cell>
          <cell r="E1070" t="str">
            <v>A</v>
          </cell>
          <cell r="H1070" t="str">
            <v>Asistencia</v>
          </cell>
        </row>
        <row r="1071">
          <cell r="C1071" t="str">
            <v>DIAZ DIAZ JUNNIOR</v>
          </cell>
          <cell r="D1071">
            <v>46158</v>
          </cell>
          <cell r="E1071" t="str">
            <v>A</v>
          </cell>
          <cell r="H1071" t="str">
            <v>Asistencia</v>
          </cell>
        </row>
        <row r="1072">
          <cell r="C1072" t="str">
            <v>DIAZ DIAZ JUNNIOR</v>
          </cell>
          <cell r="D1072">
            <v>46159</v>
          </cell>
          <cell r="E1072" t="str">
            <v>DR</v>
          </cell>
          <cell r="H1072" t="str">
            <v>D. Remunerado</v>
          </cell>
        </row>
        <row r="1073">
          <cell r="C1073" t="str">
            <v>DIAZ DIAZ JUNNIOR</v>
          </cell>
          <cell r="D1073">
            <v>46160</v>
          </cell>
          <cell r="E1073" t="str">
            <v>A</v>
          </cell>
          <cell r="H1073" t="str">
            <v>Asistencia</v>
          </cell>
        </row>
        <row r="1074">
          <cell r="C1074" t="str">
            <v>DIAZ DIAZ JUNNIOR</v>
          </cell>
          <cell r="D1074">
            <v>46161</v>
          </cell>
          <cell r="E1074" t="str">
            <v>A</v>
          </cell>
          <cell r="H1074" t="str">
            <v>Asistencia</v>
          </cell>
        </row>
        <row r="1075">
          <cell r="C1075" t="str">
            <v>DIAZ DIAZ JUNNIOR</v>
          </cell>
          <cell r="D1075">
            <v>46162</v>
          </cell>
          <cell r="E1075" t="str">
            <v>A</v>
          </cell>
          <cell r="H1075" t="str">
            <v>Asistencia</v>
          </cell>
        </row>
        <row r="1076">
          <cell r="C1076" t="str">
            <v>DIAZ DIAZ JUNNIOR</v>
          </cell>
          <cell r="D1076">
            <v>46163</v>
          </cell>
          <cell r="E1076" t="str">
            <v>A</v>
          </cell>
          <cell r="H1076" t="str">
            <v>Asistencia</v>
          </cell>
        </row>
        <row r="1077">
          <cell r="C1077" t="str">
            <v>DIAZ DIAZ JUNNIOR</v>
          </cell>
          <cell r="D1077">
            <v>46164</v>
          </cell>
          <cell r="E1077" t="str">
            <v>A</v>
          </cell>
          <cell r="H1077" t="str">
            <v>Asistencia</v>
          </cell>
        </row>
        <row r="1078">
          <cell r="C1078" t="str">
            <v>DIAZ DIAZ JUNNIOR</v>
          </cell>
          <cell r="D1078">
            <v>46165</v>
          </cell>
          <cell r="E1078" t="str">
            <v>A</v>
          </cell>
          <cell r="H1078" t="str">
            <v>Asistencia</v>
          </cell>
        </row>
        <row r="1079">
          <cell r="C1079" t="str">
            <v>DIAZ DIAZ JUNNIOR</v>
          </cell>
          <cell r="D1079">
            <v>46166</v>
          </cell>
          <cell r="E1079" t="str">
            <v>DR</v>
          </cell>
          <cell r="H1079" t="str">
            <v>D. Remunerado</v>
          </cell>
        </row>
        <row r="1080">
          <cell r="C1080" t="str">
            <v>DIAZ DIAZ JUNNIOR</v>
          </cell>
          <cell r="D1080">
            <v>46167</v>
          </cell>
          <cell r="E1080" t="str">
            <v>A</v>
          </cell>
          <cell r="H1080" t="str">
            <v>Asistencia</v>
          </cell>
        </row>
        <row r="1081">
          <cell r="C1081" t="str">
            <v>DIAZ DIAZ JUNNIOR</v>
          </cell>
          <cell r="D1081">
            <v>46168</v>
          </cell>
          <cell r="E1081" t="str">
            <v>A</v>
          </cell>
          <cell r="H1081" t="str">
            <v>Asistencia</v>
          </cell>
        </row>
        <row r="1082">
          <cell r="C1082" t="str">
            <v>DIAZ DIAZ JUNNIOR</v>
          </cell>
          <cell r="D1082">
            <v>46169</v>
          </cell>
          <cell r="E1082" t="str">
            <v>A</v>
          </cell>
          <cell r="H1082" t="str">
            <v>Asistencia</v>
          </cell>
        </row>
        <row r="1083">
          <cell r="C1083" t="str">
            <v>DIAZ DIAZ JUNNIOR</v>
          </cell>
          <cell r="D1083">
            <v>46170</v>
          </cell>
          <cell r="E1083" t="str">
            <v>A</v>
          </cell>
          <cell r="H1083" t="str">
            <v>Asistencia</v>
          </cell>
        </row>
        <row r="1084">
          <cell r="C1084" t="str">
            <v>DIAZ DIAZ JUNNIOR</v>
          </cell>
          <cell r="D1084">
            <v>46171</v>
          </cell>
          <cell r="E1084" t="str">
            <v>A</v>
          </cell>
          <cell r="H1084" t="str">
            <v>Asistencia</v>
          </cell>
        </row>
        <row r="1085">
          <cell r="C1085" t="str">
            <v>DIAZ DIAZ JUNNIOR</v>
          </cell>
          <cell r="D1085">
            <v>46172</v>
          </cell>
          <cell r="E1085" t="str">
            <v>A</v>
          </cell>
          <cell r="H1085" t="str">
            <v>Asistencia</v>
          </cell>
        </row>
        <row r="1086">
          <cell r="C1086" t="str">
            <v>DIAZ DIAZ JUNNIOR</v>
          </cell>
          <cell r="D1086">
            <v>46173</v>
          </cell>
          <cell r="E1086" t="str">
            <v>A</v>
          </cell>
          <cell r="H1086" t="str">
            <v>Asistencia</v>
          </cell>
        </row>
        <row r="1087">
          <cell r="C1087" t="str">
            <v>YUNCA ALFARO JOSE LUIS</v>
          </cell>
          <cell r="D1087">
            <v>46143</v>
          </cell>
          <cell r="E1087" t="str">
            <v>DNR</v>
          </cell>
          <cell r="H1087" t="str">
            <v>No Remunerado</v>
          </cell>
        </row>
        <row r="1088">
          <cell r="C1088" t="str">
            <v>YUNCA ALFARO JOSE LUIS</v>
          </cell>
          <cell r="D1088">
            <v>46144</v>
          </cell>
          <cell r="E1088" t="str">
            <v>DNR</v>
          </cell>
          <cell r="H1088" t="str">
            <v>No Remunerado</v>
          </cell>
        </row>
        <row r="1089">
          <cell r="C1089" t="str">
            <v>YUNCA ALFARO JOSE LUIS</v>
          </cell>
          <cell r="D1089">
            <v>46145</v>
          </cell>
          <cell r="E1089" t="str">
            <v>DNR</v>
          </cell>
          <cell r="H1089" t="str">
            <v>No Remunerado</v>
          </cell>
        </row>
        <row r="1090">
          <cell r="C1090" t="str">
            <v>YUNCA ALFARO JOSE LUIS</v>
          </cell>
          <cell r="D1090">
            <v>46146</v>
          </cell>
          <cell r="E1090" t="str">
            <v>A</v>
          </cell>
          <cell r="H1090" t="str">
            <v>Asistencia</v>
          </cell>
        </row>
        <row r="1091">
          <cell r="C1091" t="str">
            <v>YUNCA ALFARO JOSE LUIS</v>
          </cell>
          <cell r="D1091">
            <v>46147</v>
          </cell>
          <cell r="E1091" t="str">
            <v>A</v>
          </cell>
          <cell r="H1091" t="str">
            <v>Asistencia</v>
          </cell>
        </row>
        <row r="1092">
          <cell r="C1092" t="str">
            <v>YUNCA ALFARO JOSE LUIS</v>
          </cell>
          <cell r="D1092">
            <v>46148</v>
          </cell>
          <cell r="E1092" t="str">
            <v>DNR</v>
          </cell>
          <cell r="H1092" t="str">
            <v>No Remunerado</v>
          </cell>
        </row>
        <row r="1093">
          <cell r="C1093" t="str">
            <v>YUNCA ALFARO JOSE LUIS</v>
          </cell>
          <cell r="D1093">
            <v>46149</v>
          </cell>
          <cell r="E1093" t="str">
            <v>DNR</v>
          </cell>
          <cell r="H1093" t="str">
            <v>No Remunerado</v>
          </cell>
        </row>
        <row r="1094">
          <cell r="C1094" t="str">
            <v>YUNCA ALFARO JOSE LUIS</v>
          </cell>
          <cell r="D1094">
            <v>46150</v>
          </cell>
          <cell r="E1094" t="str">
            <v>DNR</v>
          </cell>
          <cell r="H1094" t="str">
            <v>No Remunerado</v>
          </cell>
        </row>
        <row r="1095">
          <cell r="C1095" t="str">
            <v>YUNCA ALFARO JOSE LUIS</v>
          </cell>
          <cell r="D1095">
            <v>46151</v>
          </cell>
          <cell r="E1095" t="str">
            <v>DNR</v>
          </cell>
          <cell r="H1095" t="str">
            <v>No Remunerado</v>
          </cell>
        </row>
        <row r="1096">
          <cell r="C1096" t="str">
            <v>YUNCA ALFARO JOSE LUIS</v>
          </cell>
          <cell r="D1096">
            <v>46152</v>
          </cell>
          <cell r="E1096" t="str">
            <v>DNR</v>
          </cell>
          <cell r="H1096" t="str">
            <v>No Remunerado</v>
          </cell>
        </row>
        <row r="1097">
          <cell r="C1097" t="str">
            <v>YUNCA ALFARO JOSE LUIS</v>
          </cell>
          <cell r="D1097">
            <v>46153</v>
          </cell>
          <cell r="E1097" t="str">
            <v>DNR</v>
          </cell>
          <cell r="H1097" t="str">
            <v>No Remunerado</v>
          </cell>
        </row>
        <row r="1098">
          <cell r="C1098" t="str">
            <v>YUNCA ALFARO JOSE LUIS</v>
          </cell>
          <cell r="D1098">
            <v>46154</v>
          </cell>
          <cell r="E1098" t="str">
            <v>DNR</v>
          </cell>
          <cell r="H1098" t="str">
            <v>No Remunerado</v>
          </cell>
        </row>
        <row r="1099">
          <cell r="C1099" t="str">
            <v>YUNCA ALFARO JOSE LUIS</v>
          </cell>
          <cell r="D1099">
            <v>46155</v>
          </cell>
          <cell r="E1099" t="str">
            <v>DNR</v>
          </cell>
          <cell r="H1099" t="str">
            <v>No Remunerado</v>
          </cell>
        </row>
        <row r="1100">
          <cell r="C1100" t="str">
            <v>YUNCA ALFARO JOSE LUIS</v>
          </cell>
          <cell r="D1100">
            <v>46156</v>
          </cell>
          <cell r="E1100" t="str">
            <v>DNR</v>
          </cell>
          <cell r="H1100" t="str">
            <v>No Remunerado</v>
          </cell>
        </row>
        <row r="1101">
          <cell r="C1101" t="str">
            <v>YUNCA ALFARO JOSE LUIS</v>
          </cell>
          <cell r="D1101">
            <v>46157</v>
          </cell>
          <cell r="E1101" t="str">
            <v>DNR</v>
          </cell>
          <cell r="H1101" t="str">
            <v>No Remunerado</v>
          </cell>
        </row>
        <row r="1102">
          <cell r="C1102" t="str">
            <v>YUNCA ALFARO JOSE LUIS</v>
          </cell>
          <cell r="D1102">
            <v>46158</v>
          </cell>
          <cell r="E1102" t="str">
            <v>DNR</v>
          </cell>
          <cell r="H1102" t="str">
            <v>No Remunerado</v>
          </cell>
        </row>
        <row r="1103">
          <cell r="C1103" t="str">
            <v>YUNCA ALFARO JOSE LUIS</v>
          </cell>
          <cell r="D1103">
            <v>46159</v>
          </cell>
          <cell r="E1103" t="str">
            <v>DNR</v>
          </cell>
          <cell r="H1103" t="str">
            <v>No Remunerado</v>
          </cell>
        </row>
        <row r="1104">
          <cell r="C1104" t="str">
            <v>YUNCA ALFARO JOSE LUIS</v>
          </cell>
          <cell r="D1104">
            <v>46160</v>
          </cell>
          <cell r="E1104" t="str">
            <v>DNR</v>
          </cell>
          <cell r="H1104" t="str">
            <v>No Remunerado</v>
          </cell>
        </row>
        <row r="1105">
          <cell r="C1105" t="str">
            <v>YUNCA ALFARO JOSE LUIS</v>
          </cell>
          <cell r="D1105">
            <v>46161</v>
          </cell>
          <cell r="E1105" t="str">
            <v>DNR</v>
          </cell>
          <cell r="H1105" t="str">
            <v>No Remunerado</v>
          </cell>
        </row>
        <row r="1106">
          <cell r="C1106" t="str">
            <v>YUNCA ALFARO JOSE LUIS</v>
          </cell>
          <cell r="D1106">
            <v>46162</v>
          </cell>
          <cell r="E1106" t="str">
            <v>DNR</v>
          </cell>
          <cell r="H1106" t="str">
            <v>No Remunerado</v>
          </cell>
        </row>
        <row r="1107">
          <cell r="C1107" t="str">
            <v>YUNCA ALFARO JOSE LUIS</v>
          </cell>
          <cell r="D1107">
            <v>46163</v>
          </cell>
          <cell r="E1107" t="str">
            <v>DNR</v>
          </cell>
          <cell r="H1107" t="str">
            <v>No Remunerado</v>
          </cell>
        </row>
        <row r="1108">
          <cell r="C1108" t="str">
            <v>YUNCA ALFARO JOSE LUIS</v>
          </cell>
          <cell r="D1108">
            <v>46164</v>
          </cell>
          <cell r="E1108" t="str">
            <v>DNR</v>
          </cell>
          <cell r="H1108" t="str">
            <v>No Remunerado</v>
          </cell>
        </row>
        <row r="1109">
          <cell r="C1109" t="str">
            <v>YUNCA ALFARO JOSE LUIS</v>
          </cell>
          <cell r="D1109">
            <v>46165</v>
          </cell>
          <cell r="E1109" t="str">
            <v>DNR</v>
          </cell>
          <cell r="H1109" t="str">
            <v>No Remunerado</v>
          </cell>
        </row>
        <row r="1110">
          <cell r="C1110" t="str">
            <v>YUNCA ALFARO JOSE LUIS</v>
          </cell>
          <cell r="D1110">
            <v>46166</v>
          </cell>
          <cell r="E1110" t="str">
            <v>DNR</v>
          </cell>
          <cell r="H1110" t="str">
            <v>No Remunerado</v>
          </cell>
        </row>
        <row r="1111">
          <cell r="C1111" t="str">
            <v>YUNCA ALFARO JOSE LUIS</v>
          </cell>
          <cell r="D1111">
            <v>46167</v>
          </cell>
          <cell r="E1111" t="str">
            <v>DNR</v>
          </cell>
          <cell r="H1111" t="str">
            <v>No Remunerado</v>
          </cell>
        </row>
        <row r="1112">
          <cell r="C1112" t="str">
            <v>YUNCA ALFARO JOSE LUIS</v>
          </cell>
          <cell r="D1112">
            <v>46168</v>
          </cell>
          <cell r="E1112" t="str">
            <v>DNR</v>
          </cell>
          <cell r="H1112" t="str">
            <v>No Remunerado</v>
          </cell>
        </row>
        <row r="1113">
          <cell r="C1113" t="str">
            <v>YUNCA ALFARO JOSE LUIS</v>
          </cell>
          <cell r="D1113">
            <v>46169</v>
          </cell>
          <cell r="E1113" t="str">
            <v>DNR</v>
          </cell>
          <cell r="H1113" t="str">
            <v>No Remunerado</v>
          </cell>
        </row>
        <row r="1114">
          <cell r="C1114" t="str">
            <v>YUNCA ALFARO JOSE LUIS</v>
          </cell>
          <cell r="D1114">
            <v>46170</v>
          </cell>
          <cell r="E1114" t="str">
            <v>DNR</v>
          </cell>
          <cell r="H1114" t="str">
            <v>No Remunerado</v>
          </cell>
        </row>
        <row r="1115">
          <cell r="C1115" t="str">
            <v>YUNCA ALFARO JOSE LUIS</v>
          </cell>
          <cell r="D1115">
            <v>46171</v>
          </cell>
          <cell r="E1115" t="str">
            <v>DNR</v>
          </cell>
          <cell r="H1115" t="str">
            <v>No Remunerado</v>
          </cell>
        </row>
        <row r="1116">
          <cell r="C1116" t="str">
            <v>YUNCA ALFARO JOSE LUIS</v>
          </cell>
          <cell r="D1116">
            <v>46172</v>
          </cell>
          <cell r="E1116" t="str">
            <v>DNR</v>
          </cell>
          <cell r="H1116" t="str">
            <v>No Remunerado</v>
          </cell>
        </row>
        <row r="1117">
          <cell r="C1117" t="str">
            <v>YUNCA ALFARO JOSE LUIS</v>
          </cell>
          <cell r="D1117">
            <v>46173</v>
          </cell>
          <cell r="E1117" t="str">
            <v>DNR</v>
          </cell>
          <cell r="H1117" t="str">
            <v>No Remunerado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llehuamanleodanjoel@gemail.com" TargetMode="External"/><Relationship Id="rId13" Type="http://schemas.openxmlformats.org/officeDocument/2006/relationships/hyperlink" Target="mailto:manayayjhonatan@gmail.com" TargetMode="External"/><Relationship Id="rId18" Type="http://schemas.openxmlformats.org/officeDocument/2006/relationships/vmlDrawing" Target="../drawings/vmlDrawing1.vml"/><Relationship Id="rId3" Type="http://schemas.openxmlformats.org/officeDocument/2006/relationships/hyperlink" Target="mailto:diazdiazjunnior@gmail.com" TargetMode="External"/><Relationship Id="rId7" Type="http://schemas.openxmlformats.org/officeDocument/2006/relationships/hyperlink" Target="mailto:leyderterrones077@gmail.com" TargetMode="External"/><Relationship Id="rId12" Type="http://schemas.openxmlformats.org/officeDocument/2006/relationships/hyperlink" Target="mailto:marcocruzcasas12@gmail.com" TargetMode="External"/><Relationship Id="rId17" Type="http://schemas.openxmlformats.org/officeDocument/2006/relationships/hyperlink" Target="mailto:carlosroquejuinorabel@gmail.com" TargetMode="External"/><Relationship Id="rId2" Type="http://schemas.openxmlformats.org/officeDocument/2006/relationships/hyperlink" Target="mailto:jorgemontoyanamoc@gmail.com" TargetMode="External"/><Relationship Id="rId16" Type="http://schemas.openxmlformats.org/officeDocument/2006/relationships/hyperlink" Target="mailto:cesarrequelmeb@gmail.com" TargetMode="External"/><Relationship Id="rId1" Type="http://schemas.openxmlformats.org/officeDocument/2006/relationships/hyperlink" Target="mailto:edujasipa@gmail.com" TargetMode="External"/><Relationship Id="rId6" Type="http://schemas.openxmlformats.org/officeDocument/2006/relationships/hyperlink" Target="mailto:Fredyterrones4@gmail.com" TargetMode="External"/><Relationship Id="rId11" Type="http://schemas.openxmlformats.org/officeDocument/2006/relationships/hyperlink" Target="mailto:garcikalet89@gmail.com" TargetMode="External"/><Relationship Id="rId5" Type="http://schemas.openxmlformats.org/officeDocument/2006/relationships/hyperlink" Target="mailto:Armancz9091@gmail.com" TargetMode="External"/><Relationship Id="rId15" Type="http://schemas.openxmlformats.org/officeDocument/2006/relationships/hyperlink" Target="mailto:bbernatantarico@gmail.com" TargetMode="External"/><Relationship Id="rId10" Type="http://schemas.openxmlformats.org/officeDocument/2006/relationships/hyperlink" Target="mailto:Andersonxavierchuicaadanaque@gmail.com" TargetMode="External"/><Relationship Id="rId19" Type="http://schemas.openxmlformats.org/officeDocument/2006/relationships/comments" Target="../comments1.xml"/><Relationship Id="rId4" Type="http://schemas.openxmlformats.org/officeDocument/2006/relationships/hyperlink" Target="mailto:cesarrequelmeb@gmail.com" TargetMode="External"/><Relationship Id="rId9" Type="http://schemas.openxmlformats.org/officeDocument/2006/relationships/hyperlink" Target="mailto:luisfy11@hotmail.com" TargetMode="External"/><Relationship Id="rId14" Type="http://schemas.openxmlformats.org/officeDocument/2006/relationships/hyperlink" Target="mailto:jhonatanhernadezgom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C6FC-3EE5-4E40-A5C5-7E43FB6B433B}">
  <dimension ref="A1:BO39"/>
  <sheetViews>
    <sheetView tabSelected="1" zoomScale="80" zoomScaleNormal="80" workbookViewId="0">
      <pane xSplit="4" ySplit="2" topLeftCell="AO3" activePane="bottomRight" state="frozen"/>
      <selection pane="topRight" activeCell="D1" sqref="D1"/>
      <selection pane="bottomLeft" activeCell="A3" sqref="A3"/>
      <selection pane="bottomRight" activeCell="BA16" sqref="BA16"/>
    </sheetView>
  </sheetViews>
  <sheetFormatPr baseColWidth="10" defaultColWidth="8.88671875" defaultRowHeight="14.4" outlineLevelCol="1" x14ac:dyDescent="0.3"/>
  <cols>
    <col min="2" max="2" width="12.77734375" bestFit="1" customWidth="1"/>
    <col min="4" max="4" width="37.44140625" bestFit="1" customWidth="1"/>
    <col min="5" max="5" width="12.33203125" customWidth="1" outlineLevel="1"/>
    <col min="6" max="6" width="32.6640625" customWidth="1" outlineLevel="1"/>
    <col min="7" max="7" width="10.44140625" customWidth="1" outlineLevel="1"/>
    <col min="8" max="9" width="14" customWidth="1" outlineLevel="1"/>
    <col min="10" max="10" width="17.109375" customWidth="1" outlineLevel="1"/>
    <col min="11" max="11" width="21.21875" customWidth="1" outlineLevel="1"/>
    <col min="12" max="12" width="10.44140625" customWidth="1" outlineLevel="1"/>
    <col min="13" max="13" width="10.44140625" customWidth="1"/>
    <col min="14" max="14" width="10.5546875" style="2" customWidth="1" outlineLevel="1"/>
    <col min="15" max="15" width="13.33203125" style="2" customWidth="1" outlineLevel="1"/>
    <col min="16" max="16" width="10.88671875" style="2" customWidth="1" outlineLevel="1"/>
    <col min="17" max="17" width="8.109375" style="3" customWidth="1" outlineLevel="1"/>
    <col min="18" max="18" width="9.33203125" style="3" customWidth="1" outlineLevel="1"/>
    <col min="19" max="21" width="9.6640625" style="2" customWidth="1" outlineLevel="1"/>
    <col min="22" max="23" width="8.88671875" style="2" customWidth="1" outlineLevel="1"/>
    <col min="24" max="24" width="12.5546875" style="2" customWidth="1" outlineLevel="1"/>
    <col min="25" max="25" width="9.109375" style="2" customWidth="1" outlineLevel="1"/>
    <col min="26" max="26" width="9.44140625" style="2" customWidth="1" outlineLevel="1"/>
    <col min="27" max="29" width="12.5546875" style="2" customWidth="1" outlineLevel="1"/>
    <col min="30" max="30" width="12.5546875" style="2" customWidth="1"/>
    <col min="31" max="33" width="10.21875" style="3" customWidth="1" outlineLevel="1"/>
    <col min="34" max="35" width="13.77734375" style="3" customWidth="1" outlineLevel="1"/>
    <col min="36" max="37" width="9.5546875" style="3" customWidth="1" outlineLevel="1"/>
    <col min="38" max="38" width="8.88671875" style="3" customWidth="1" outlineLevel="1"/>
    <col min="39" max="39" width="9" style="3" customWidth="1" outlineLevel="1"/>
    <col min="40" max="40" width="14.33203125" style="3" customWidth="1" outlineLevel="1"/>
    <col min="41" max="41" width="8" style="3" customWidth="1" outlineLevel="1"/>
    <col min="42" max="42" width="11" style="3" customWidth="1" outlineLevel="1"/>
    <col min="43" max="43" width="12.44140625" style="3" customWidth="1" outlineLevel="1"/>
    <col min="44" max="46" width="9.109375" style="3" customWidth="1" outlineLevel="1"/>
    <col min="47" max="47" width="8.88671875" style="3" customWidth="1"/>
    <col min="48" max="48" width="12.21875" style="3" customWidth="1"/>
    <col min="49" max="49" width="15.77734375" style="3" customWidth="1" outlineLevel="1"/>
    <col min="50" max="50" width="11.6640625" style="3" customWidth="1" outlineLevel="1"/>
    <col min="51" max="51" width="11.6640625" style="12" customWidth="1" outlineLevel="1"/>
    <col min="52" max="52" width="39.88671875" style="12" bestFit="1" customWidth="1" outlineLevel="1"/>
    <col min="53" max="53" width="3.44140625" style="3" customWidth="1" outlineLevel="1"/>
    <col min="54" max="54" width="8.109375" style="3" customWidth="1" outlineLevel="1"/>
    <col min="55" max="59" width="11.6640625" style="3" customWidth="1"/>
    <col min="60" max="60" width="17.88671875" style="3" customWidth="1"/>
    <col min="61" max="61" width="11.6640625" style="3" customWidth="1"/>
    <col min="62" max="62" width="13.21875" style="3" customWidth="1"/>
    <col min="63" max="63" width="8.88671875" style="13"/>
  </cols>
  <sheetData>
    <row r="1" spans="1:64" x14ac:dyDescent="0.3">
      <c r="M1" s="1" t="s">
        <v>0</v>
      </c>
      <c r="N1" s="1"/>
      <c r="S1" s="4" t="s">
        <v>1</v>
      </c>
      <c r="T1" s="4"/>
      <c r="U1" s="4"/>
      <c r="V1" s="5" t="s">
        <v>2</v>
      </c>
      <c r="W1" s="6"/>
      <c r="X1" s="6"/>
      <c r="Y1" s="6"/>
      <c r="Z1" s="6"/>
      <c r="AA1" s="6"/>
      <c r="AB1" s="7"/>
      <c r="AC1" s="3"/>
      <c r="AD1" s="3"/>
      <c r="AK1" s="8" t="s">
        <v>3</v>
      </c>
      <c r="AL1" s="8"/>
      <c r="AM1" s="9" t="s">
        <v>4</v>
      </c>
      <c r="AN1" s="9"/>
      <c r="AO1" s="9"/>
      <c r="AP1" s="9"/>
      <c r="AQ1" s="9" t="s">
        <v>5</v>
      </c>
      <c r="AR1" s="9"/>
      <c r="AS1" s="10"/>
      <c r="AT1" s="10"/>
      <c r="AW1" s="11" t="s">
        <v>6</v>
      </c>
    </row>
    <row r="2" spans="1:64" s="14" customFormat="1" ht="27.6" customHeight="1" x14ac:dyDescent="0.3">
      <c r="A2" s="14" t="s">
        <v>7</v>
      </c>
      <c r="B2" s="15" t="s">
        <v>8</v>
      </c>
      <c r="C2" s="15" t="s">
        <v>9</v>
      </c>
      <c r="D2" s="15" t="s">
        <v>10</v>
      </c>
      <c r="E2" s="15" t="s">
        <v>11</v>
      </c>
      <c r="F2" s="15" t="s">
        <v>12</v>
      </c>
      <c r="G2" s="15" t="s">
        <v>13</v>
      </c>
      <c r="H2" s="15" t="s">
        <v>14</v>
      </c>
      <c r="I2" s="15" t="s">
        <v>15</v>
      </c>
      <c r="J2" s="15" t="s">
        <v>16</v>
      </c>
      <c r="K2" s="15" t="s">
        <v>17</v>
      </c>
      <c r="L2" s="15" t="s">
        <v>18</v>
      </c>
      <c r="M2" s="15" t="s">
        <v>19</v>
      </c>
      <c r="N2" s="16" t="s">
        <v>20</v>
      </c>
      <c r="O2" s="16" t="s">
        <v>0</v>
      </c>
      <c r="P2" s="16" t="s">
        <v>21</v>
      </c>
      <c r="Q2" s="16" t="s">
        <v>22</v>
      </c>
      <c r="R2" s="16" t="s">
        <v>23</v>
      </c>
      <c r="S2" s="16" t="s">
        <v>24</v>
      </c>
      <c r="T2" s="16" t="s">
        <v>25</v>
      </c>
      <c r="U2" s="16" t="s">
        <v>26</v>
      </c>
      <c r="V2" s="17" t="s">
        <v>27</v>
      </c>
      <c r="W2" s="17" t="s">
        <v>28</v>
      </c>
      <c r="X2" s="17" t="s">
        <v>29</v>
      </c>
      <c r="Y2" s="17" t="s">
        <v>30</v>
      </c>
      <c r="Z2" s="17" t="s">
        <v>31</v>
      </c>
      <c r="AA2" s="17" t="s">
        <v>32</v>
      </c>
      <c r="AB2" s="17" t="s">
        <v>33</v>
      </c>
      <c r="AC2" s="18" t="s">
        <v>34</v>
      </c>
      <c r="AD2" s="19" t="s">
        <v>35</v>
      </c>
      <c r="AE2" s="20" t="s">
        <v>36</v>
      </c>
      <c r="AF2" s="21" t="s">
        <v>37</v>
      </c>
      <c r="AG2" s="21" t="s">
        <v>31</v>
      </c>
      <c r="AH2" s="21" t="s">
        <v>38</v>
      </c>
      <c r="AI2" s="21" t="s">
        <v>39</v>
      </c>
      <c r="AJ2" s="21" t="s">
        <v>40</v>
      </c>
      <c r="AK2" s="22" t="s">
        <v>41</v>
      </c>
      <c r="AL2" s="22" t="s">
        <v>42</v>
      </c>
      <c r="AM2" s="23" t="s">
        <v>43</v>
      </c>
      <c r="AN2" s="23" t="s">
        <v>44</v>
      </c>
      <c r="AO2" s="23" t="s">
        <v>45</v>
      </c>
      <c r="AP2" s="23" t="s">
        <v>46</v>
      </c>
      <c r="AQ2" s="23" t="s">
        <v>47</v>
      </c>
      <c r="AR2" s="23" t="s">
        <v>48</v>
      </c>
      <c r="AS2" s="23" t="s">
        <v>49</v>
      </c>
      <c r="AT2" s="23" t="s">
        <v>50</v>
      </c>
      <c r="AU2" s="24" t="s">
        <v>51</v>
      </c>
      <c r="AV2" s="24" t="s">
        <v>52</v>
      </c>
      <c r="AW2" s="25" t="s">
        <v>53</v>
      </c>
      <c r="AX2" s="26" t="s">
        <v>54</v>
      </c>
      <c r="AY2" s="27" t="s">
        <v>55</v>
      </c>
      <c r="AZ2" s="27" t="s">
        <v>56</v>
      </c>
      <c r="BA2" s="3"/>
      <c r="BB2" s="16" t="s">
        <v>57</v>
      </c>
      <c r="BC2" s="26" t="s">
        <v>58</v>
      </c>
      <c r="BD2" s="26" t="s">
        <v>59</v>
      </c>
      <c r="BE2" s="26" t="s">
        <v>60</v>
      </c>
      <c r="BF2" s="26" t="s">
        <v>61</v>
      </c>
      <c r="BG2" s="23" t="s">
        <v>62</v>
      </c>
      <c r="BH2" s="23" t="s">
        <v>63</v>
      </c>
      <c r="BI2" s="28" t="s">
        <v>64</v>
      </c>
      <c r="BJ2" s="26" t="s">
        <v>65</v>
      </c>
      <c r="BK2" s="29"/>
    </row>
    <row r="3" spans="1:64" x14ac:dyDescent="0.3">
      <c r="B3" s="30" t="s">
        <v>66</v>
      </c>
      <c r="C3" s="30">
        <v>42878934</v>
      </c>
      <c r="D3" s="30" t="s">
        <v>67</v>
      </c>
      <c r="E3" s="31">
        <v>31058</v>
      </c>
      <c r="F3" s="30" t="s">
        <v>68</v>
      </c>
      <c r="G3" s="30" t="s">
        <v>69</v>
      </c>
      <c r="H3" s="30" t="s">
        <v>70</v>
      </c>
      <c r="I3" s="30" t="s">
        <v>71</v>
      </c>
      <c r="J3" s="30" t="s">
        <v>72</v>
      </c>
      <c r="K3" s="30"/>
      <c r="L3" s="31">
        <v>46128</v>
      </c>
      <c r="M3" s="31">
        <v>46128</v>
      </c>
      <c r="N3" s="31">
        <v>46142</v>
      </c>
      <c r="O3" s="31" t="str">
        <f>+TEXT(M3,"mmmm")&amp;" - "&amp;YEAR(M3)&amp;MONTH(M3)</f>
        <v>Abril - 20264</v>
      </c>
      <c r="P3" s="32" t="s">
        <v>73</v>
      </c>
      <c r="Q3" s="33">
        <v>1300</v>
      </c>
      <c r="R3" s="33"/>
      <c r="S3" s="32">
        <v>0</v>
      </c>
      <c r="T3" s="32">
        <v>0</v>
      </c>
      <c r="U3" s="32">
        <v>0</v>
      </c>
      <c r="V3" s="32">
        <v>9</v>
      </c>
      <c r="W3" s="32"/>
      <c r="X3" s="32">
        <v>5</v>
      </c>
      <c r="Y3" s="32">
        <f>+COUNTIFS('[1]BD Asistencia'!$E:$E,"F",'[1]BD Asistencia'!$C:$C,'Planilla Mensual'!$D3,'[1]BD Asistencia'!$D:$D,"&gt;="&amp;'Planilla Mensual'!M3,'[1]BD Asistencia'!$D:$D,"&lt;="&amp;'Planilla Mensual'!N3)</f>
        <v>0</v>
      </c>
      <c r="Z3" s="32">
        <f>+COUNTIFS('[1]BD Asistencia'!$E:$E,"F/A",'[1]BD Asistencia'!$C:$C,'Planilla Mensual'!$D3,'[1]BD Asistencia'!$D:$D,"&gt;="&amp;'Planilla Mensual'!M3,'[1]BD Asistencia'!$D:$D,"&lt;="&amp;'Planilla Mensual'!N3)</f>
        <v>0</v>
      </c>
      <c r="AA3" s="32">
        <v>1</v>
      </c>
      <c r="AB3" s="32"/>
      <c r="AC3" s="32">
        <f>+SUM(S3:AA3)</f>
        <v>15</v>
      </c>
      <c r="AD3" s="32"/>
      <c r="AE3" s="33">
        <f>+Q3/30*SUM(V3:Z3)</f>
        <v>606.66666666666674</v>
      </c>
      <c r="AF3" s="33">
        <f>IF(P3="SI",113,0)</f>
        <v>113</v>
      </c>
      <c r="AG3" s="33">
        <f>+(Q3/30*Z3)*2</f>
        <v>0</v>
      </c>
      <c r="AH3" s="33">
        <v>200</v>
      </c>
      <c r="AI3" s="33"/>
      <c r="AJ3" s="33">
        <f>+SUM(AE3:AH3)</f>
        <v>919.66666666666674</v>
      </c>
      <c r="AK3" s="33">
        <f t="shared" ref="AK3:AK19" si="0">+V3*IF(RIGHT(F3,2)="N3",16,IF(RIGHT(F3,2)="N2",8,4))</f>
        <v>144</v>
      </c>
      <c r="AL3" s="33">
        <f t="shared" ref="AL3:AL19" si="1">V3*30</f>
        <v>270</v>
      </c>
      <c r="AM3" s="33">
        <f t="shared" ref="AM3:AM19" si="2">IF(G3="ONP",0,AJ3*0.1)</f>
        <v>91.966666666666683</v>
      </c>
      <c r="AN3" s="33">
        <f t="shared" ref="AN3:AN19" si="3">IF(G3="ONP",0,AJ3*1.37%)</f>
        <v>12.599433333333335</v>
      </c>
      <c r="AO3" s="33">
        <f t="shared" ref="AO3:AO19" si="4">+IF(G3="ONP",AJ3*0.13,0)</f>
        <v>0</v>
      </c>
      <c r="AP3" s="33">
        <v>0</v>
      </c>
      <c r="AQ3" s="33">
        <v>250</v>
      </c>
      <c r="AR3" s="33">
        <v>140</v>
      </c>
      <c r="AS3" s="33">
        <v>0</v>
      </c>
      <c r="AT3" s="33">
        <f>+SUM(AM3:AS3)</f>
        <v>494.56610000000001</v>
      </c>
      <c r="AU3" s="33">
        <f>AJ3-SUM(AM3:AS3)</f>
        <v>425.10056666666674</v>
      </c>
      <c r="AV3" s="33">
        <f>AK3+AL3</f>
        <v>414</v>
      </c>
      <c r="AW3" s="33">
        <f>IF(AJ3*0.09&lt;1130*0.09,1130*0.09,AJ3*0.09)</f>
        <v>101.7</v>
      </c>
      <c r="AX3" s="33">
        <f>AU3+AV3</f>
        <v>839.10056666666674</v>
      </c>
      <c r="AY3" s="33"/>
      <c r="AZ3" s="34" t="s">
        <v>74</v>
      </c>
      <c r="BB3" s="33">
        <f t="shared" ref="BB3:BB14" si="5">+IF(RIGHT(F3,2)="N3",300,0)</f>
        <v>300</v>
      </c>
      <c r="BC3" s="33">
        <v>150</v>
      </c>
      <c r="BD3" s="33">
        <f t="shared" ref="BD3:BD8" si="6">+R3*S3</f>
        <v>0</v>
      </c>
      <c r="BE3" s="33">
        <f t="shared" ref="BE3:BE10" si="7">+S3*30</f>
        <v>0</v>
      </c>
      <c r="BF3" s="33"/>
      <c r="BG3" s="33">
        <v>989.10056666666674</v>
      </c>
      <c r="BH3" s="33">
        <f t="shared" ref="BH3:BH38" si="8">+BG3-AS3</f>
        <v>989.10056666666674</v>
      </c>
      <c r="BI3" s="33">
        <f t="shared" ref="BI3:BI38" si="9">+BC3+AX3+BD3+BE3+BF3-BH3</f>
        <v>0</v>
      </c>
      <c r="BJ3" s="33">
        <f>AJ3+AW3+AV3+BC3+BD3+BE3</f>
        <v>1585.3666666666668</v>
      </c>
      <c r="BK3" s="13">
        <f>+BJ3/(V3+S3+X3)</f>
        <v>113.2404761904762</v>
      </c>
      <c r="BL3" s="13">
        <f>+BK3-25</f>
        <v>88.240476190476201</v>
      </c>
    </row>
    <row r="4" spans="1:64" x14ac:dyDescent="0.3">
      <c r="A4">
        <v>15</v>
      </c>
      <c r="B4" s="30" t="s">
        <v>66</v>
      </c>
      <c r="C4" s="30">
        <v>42878934</v>
      </c>
      <c r="D4" s="30" t="s">
        <v>67</v>
      </c>
      <c r="E4" s="31">
        <v>31058</v>
      </c>
      <c r="F4" s="30" t="s">
        <v>68</v>
      </c>
      <c r="G4" s="30" t="s">
        <v>69</v>
      </c>
      <c r="H4" s="30" t="s">
        <v>70</v>
      </c>
      <c r="I4" s="30" t="s">
        <v>71</v>
      </c>
      <c r="J4" s="30" t="s">
        <v>72</v>
      </c>
      <c r="K4" s="30"/>
      <c r="L4" s="31">
        <v>46128</v>
      </c>
      <c r="M4" s="31">
        <v>46143</v>
      </c>
      <c r="N4" s="31">
        <v>46172</v>
      </c>
      <c r="O4" s="31" t="str">
        <f>+TEXT(M4,"mmmm")&amp;" - "&amp;YEAR(M4)&amp;MONTH(M4)</f>
        <v>Mayo - 20265</v>
      </c>
      <c r="P4" s="32" t="s">
        <v>73</v>
      </c>
      <c r="Q4" s="33">
        <v>1300</v>
      </c>
      <c r="R4" s="33"/>
      <c r="S4" s="32">
        <f>+COUNTIFS('[1]BD Asistencia'!$E:$E,"A",'[1]BD Asistencia'!$C:$C,'Planilla Mensual'!$D4,'[1]BD Asistencia'!$D:$D,"&lt;"&amp;'Planilla Mensual'!L4)</f>
        <v>0</v>
      </c>
      <c r="T4" s="32">
        <f>+COUNTIFS('[1]BD Asistencia'!$E:$E,"DR",'[1]BD Asistencia'!$C:$C,'Planilla Mensual'!$D4,'[1]BD Asistencia'!$D:$D,"&lt;"&amp;L4)</f>
        <v>0</v>
      </c>
      <c r="U4" s="32" t="e">
        <f>+COUNTIFS('[1]BD Asistencia'!$H:$H,"NO REMUNERADO",'[1]BD Asistencia'!$C:$C,'Planilla Mensual'!$D4,'[1]BD Asistencia'!$D:$D,"&lt;"&amp;L4)</f>
        <v>#VALUE!</v>
      </c>
      <c r="V4" s="32">
        <f>+COUNTIFS('[1]BD Asistencia'!$E:$E,"A",'[1]BD Asistencia'!$C:$C,'Planilla Mensual'!$D4,'[1]BD Asistencia'!$D:$D,"&gt;="&amp;'Planilla Mensual'!M4,'[1]BD Asistencia'!$D:$D,"&lt;="&amp;'Planilla Mensual'!N4)-S4</f>
        <v>18</v>
      </c>
      <c r="W4" s="32">
        <f>+COUNTIFS('[1]BD Asistencia'!$E:$E,"V",'[1]BD Asistencia'!$C:$C,'Planilla Mensual'!$D4,'[1]BD Asistencia'!$D:$D,"&gt;="&amp;'Planilla Mensual'!M4,'[1]BD Asistencia'!$D:$D,"&lt;="&amp;'Planilla Mensual'!N4)</f>
        <v>7</v>
      </c>
      <c r="X4" s="32">
        <f>+COUNTIFS('[1]BD Asistencia'!$E:$E,"DR",'[1]BD Asistencia'!$C:$C,'Planilla Mensual'!$D4,'[1]BD Asistencia'!$D:$D,"&gt;="&amp;'Planilla Mensual'!M4,'[1]BD Asistencia'!$D:$D,"&lt;="&amp;'Planilla Mensual'!N4)-T4</f>
        <v>4</v>
      </c>
      <c r="Y4" s="32">
        <f>+COUNTIFS('[1]BD Asistencia'!$E:$E,"h",'[1]BD Asistencia'!$C:$C,'Planilla Mensual'!$D4,'[1]BD Asistencia'!$D:$D,"&gt;="&amp;'Planilla Mensual'!M4,'[1]BD Asistencia'!$D:$D,"&lt;="&amp;'Planilla Mensual'!N4)</f>
        <v>1</v>
      </c>
      <c r="Z4" s="32">
        <f>+COUNTIFS('[1]BD Asistencia'!$E:$E,"h/A",'[1]BD Asistencia'!$C:$C,'Planilla Mensual'!$D4,'[1]BD Asistencia'!$D:$D,"&gt;="&amp;'Planilla Mensual'!M4,'[1]BD Asistencia'!$D:$D,"&lt;="&amp;'Planilla Mensual'!N4)</f>
        <v>0</v>
      </c>
      <c r="AA4" s="32" t="e">
        <f>+COUNTIFS('[1]BD Asistencia'!$H:$H,"NO REMUNERADO",'[1]BD Asistencia'!$C:$C,'Planilla Mensual'!$D4,'[1]BD Asistencia'!$D:$D,"&gt;="&amp;'Planilla Mensual'!M4,'[1]BD Asistencia'!$D:$D,"&lt;="&amp;'Planilla Mensual'!N4)-U4</f>
        <v>#VALUE!</v>
      </c>
      <c r="AB4" s="32">
        <f>+COUNTIFS('[1]BD Asistencia'!$E:$E,"F",'[1]BD Asistencia'!$C:$C,'Planilla Mensual'!$D4,'[1]BD Asistencia'!$D:$D,"&gt;="&amp;'Planilla Mensual'!M4,'[1]BD Asistencia'!$D:$D,"&lt;="&amp;'Planilla Mensual'!N4)</f>
        <v>0</v>
      </c>
      <c r="AC4" s="32" t="e">
        <f>+SUM(S4:AB4)</f>
        <v>#VALUE!</v>
      </c>
      <c r="AD4" s="32">
        <v>5</v>
      </c>
      <c r="AE4" s="33">
        <f>+Q4/30*SUM(V4:Z4)</f>
        <v>1300</v>
      </c>
      <c r="AF4" s="33">
        <f>IF(P4="SI",113,0)</f>
        <v>113</v>
      </c>
      <c r="AG4" s="33">
        <f t="shared" ref="AG4:AG19" si="10">+(Q4/30*Z4)*2</f>
        <v>0</v>
      </c>
      <c r="AH4" s="33">
        <v>400</v>
      </c>
      <c r="AI4" s="33">
        <f t="shared" ref="AI4:AI19" si="11">+AD4*A4</f>
        <v>75</v>
      </c>
      <c r="AJ4" s="33">
        <f t="shared" ref="AJ4:AJ19" si="12">+SUM(AE4:AI4)</f>
        <v>1888</v>
      </c>
      <c r="AK4" s="33">
        <f t="shared" si="0"/>
        <v>288</v>
      </c>
      <c r="AL4" s="33">
        <f t="shared" si="1"/>
        <v>540</v>
      </c>
      <c r="AM4" s="33">
        <f t="shared" si="2"/>
        <v>188.8</v>
      </c>
      <c r="AN4" s="33">
        <f t="shared" si="3"/>
        <v>25.865600000000001</v>
      </c>
      <c r="AO4" s="33">
        <f t="shared" si="4"/>
        <v>0</v>
      </c>
      <c r="AP4" s="33">
        <v>0</v>
      </c>
      <c r="AQ4" s="33">
        <v>500</v>
      </c>
      <c r="AR4" s="33">
        <v>0</v>
      </c>
      <c r="AS4" s="33">
        <v>1231.19795</v>
      </c>
      <c r="AT4" s="33">
        <f>+SUM(AM4:AS4)</f>
        <v>1945.86355</v>
      </c>
      <c r="AU4" s="33">
        <f t="shared" ref="AU4:AU37" si="13">AJ4-SUM(AM4:AS4)</f>
        <v>-57.863550000000032</v>
      </c>
      <c r="AV4" s="33">
        <f>AK4+AL4</f>
        <v>828</v>
      </c>
      <c r="AW4" s="33">
        <f t="shared" ref="AW4:AW19" si="14">IF(AJ4*0.09&lt;1130*0.09,1130*0.09,AJ4*0.09)</f>
        <v>169.92</v>
      </c>
      <c r="AX4" s="33">
        <f>AU4+AV4</f>
        <v>770.13644999999997</v>
      </c>
      <c r="AY4" s="35"/>
      <c r="AZ4" s="34" t="s">
        <v>74</v>
      </c>
      <c r="BB4" s="33">
        <f t="shared" si="5"/>
        <v>300</v>
      </c>
      <c r="BC4" s="33">
        <f t="shared" ref="BC4:BC19" si="15">+BB4/30*SUM(V4:Z4)</f>
        <v>300</v>
      </c>
      <c r="BD4" s="33">
        <f t="shared" si="6"/>
        <v>0</v>
      </c>
      <c r="BE4" s="33">
        <f t="shared" si="7"/>
        <v>0</v>
      </c>
      <c r="BF4" s="33"/>
      <c r="BG4" s="33">
        <v>1381.19795</v>
      </c>
      <c r="BH4" s="33">
        <f t="shared" si="8"/>
        <v>150</v>
      </c>
      <c r="BI4" s="33">
        <f t="shared" si="9"/>
        <v>920.13644999999997</v>
      </c>
      <c r="BJ4" s="33">
        <f t="shared" ref="BJ4:BJ37" si="16">AJ4+AW4+AV4+BC4+BD4+BE4+BF4</f>
        <v>3185.92</v>
      </c>
      <c r="BK4" s="13">
        <f>+BJ4/(V4+S4+X4)</f>
        <v>144.81454545454545</v>
      </c>
      <c r="BL4" s="13">
        <f>+BK4-25</f>
        <v>119.81454545454545</v>
      </c>
    </row>
    <row r="5" spans="1:64" x14ac:dyDescent="0.3">
      <c r="A5">
        <v>15</v>
      </c>
      <c r="B5" s="30" t="s">
        <v>66</v>
      </c>
      <c r="C5" s="30">
        <v>70751973</v>
      </c>
      <c r="D5" s="30" t="s">
        <v>75</v>
      </c>
      <c r="E5" s="31">
        <v>34913</v>
      </c>
      <c r="F5" s="30" t="s">
        <v>68</v>
      </c>
      <c r="G5" s="30" t="s">
        <v>45</v>
      </c>
      <c r="H5" s="30"/>
      <c r="I5" s="30" t="s">
        <v>71</v>
      </c>
      <c r="J5" s="30" t="s">
        <v>76</v>
      </c>
      <c r="K5" s="30"/>
      <c r="L5" s="31">
        <v>46146</v>
      </c>
      <c r="M5" s="31">
        <v>46143</v>
      </c>
      <c r="N5" s="31">
        <v>46172</v>
      </c>
      <c r="O5" s="31" t="str">
        <f t="shared" ref="O5:O35" si="17">+TEXT(M5,"mmmm")&amp;" - "&amp;YEAR(M5)&amp;MONTH(M5)</f>
        <v>Mayo - 20265</v>
      </c>
      <c r="P5" s="32" t="s">
        <v>73</v>
      </c>
      <c r="Q5" s="33">
        <v>1300</v>
      </c>
      <c r="R5" s="33">
        <v>110</v>
      </c>
      <c r="S5" s="32">
        <f>+COUNTIFS('[1]BD Asistencia'!$E:$E,"A",'[1]BD Asistencia'!$C:$C,'Planilla Mensual'!$D5,'[1]BD Asistencia'!$D:$D,"&lt;"&amp;'Planilla Mensual'!L5)</f>
        <v>2</v>
      </c>
      <c r="T5" s="32">
        <f>+COUNTIFS('[1]BD Asistencia'!$E:$E,"DR",'[1]BD Asistencia'!$C:$C,'Planilla Mensual'!$D5,'[1]BD Asistencia'!$D:$D,"&lt;"&amp;L5)</f>
        <v>0</v>
      </c>
      <c r="U5" s="32" t="e">
        <f>+COUNTIFS('[1]BD Asistencia'!$H:$H,"NO REMUNERADO",'[1]BD Asistencia'!$C:$C,'Planilla Mensual'!$D5,'[1]BD Asistencia'!$D:$D,"&lt;"&amp;L5)</f>
        <v>#VALUE!</v>
      </c>
      <c r="V5" s="32">
        <f>+COUNTIFS('[1]BD Asistencia'!$E:$E,"A",'[1]BD Asistencia'!$C:$C,'Planilla Mensual'!$D5,'[1]BD Asistencia'!$D:$D,"&gt;="&amp;'Planilla Mensual'!M5,'[1]BD Asistencia'!$D:$D,"&lt;="&amp;'Planilla Mensual'!N5)-S5</f>
        <v>24</v>
      </c>
      <c r="W5" s="32">
        <f>+COUNTIFS('[1]BD Asistencia'!$E:$E,"V",'[1]BD Asistencia'!$C:$C,'Planilla Mensual'!$D5,'[1]BD Asistencia'!$D:$D,"&gt;="&amp;'Planilla Mensual'!M5,'[1]BD Asistencia'!$D:$D,"&lt;="&amp;'Planilla Mensual'!N5)</f>
        <v>0</v>
      </c>
      <c r="X5" s="32">
        <f>+COUNTIFS('[1]BD Asistencia'!$E:$E,"DR",'[1]BD Asistencia'!$C:$C,'Planilla Mensual'!$D5,'[1]BD Asistencia'!$D:$D,"&gt;="&amp;'Planilla Mensual'!M5,'[1]BD Asistencia'!$D:$D,"&lt;="&amp;'Planilla Mensual'!N5)-T5</f>
        <v>3</v>
      </c>
      <c r="Y5" s="32">
        <f>+COUNTIFS('[1]BD Asistencia'!$E:$E,"h",'[1]BD Asistencia'!$C:$C,'Planilla Mensual'!$D5,'[1]BD Asistencia'!$D:$D,"&gt;="&amp;'Planilla Mensual'!M5,'[1]BD Asistencia'!$D:$D,"&lt;="&amp;'Planilla Mensual'!N5)</f>
        <v>0</v>
      </c>
      <c r="Z5" s="32">
        <f>+COUNTIFS('[1]BD Asistencia'!$E:$E,"h/A",'[1]BD Asistencia'!$C:$C,'Planilla Mensual'!$D5,'[1]BD Asistencia'!$D:$D,"&gt;="&amp;'Planilla Mensual'!M5,'[1]BD Asistencia'!$D:$D,"&lt;="&amp;'Planilla Mensual'!N5)</f>
        <v>0</v>
      </c>
      <c r="AA5" s="32" t="e">
        <f>+COUNTIFS('[1]BD Asistencia'!$H:$H,"NO REMUNERADO",'[1]BD Asistencia'!$C:$C,'Planilla Mensual'!$D5,'[1]BD Asistencia'!$D:$D,"&gt;="&amp;'Planilla Mensual'!M5,'[1]BD Asistencia'!$D:$D,"&lt;="&amp;'Planilla Mensual'!N5)-U5</f>
        <v>#VALUE!</v>
      </c>
      <c r="AB5" s="32">
        <f>+COUNTIFS('[1]BD Asistencia'!$E:$E,"F",'[1]BD Asistencia'!$C:$C,'Planilla Mensual'!$D5,'[1]BD Asistencia'!$D:$D,"&gt;="&amp;'Planilla Mensual'!M5,'[1]BD Asistencia'!$D:$D,"&lt;="&amp;'Planilla Mensual'!N5)</f>
        <v>0</v>
      </c>
      <c r="AC5" s="32" t="e">
        <f t="shared" ref="AC5:AC37" si="18">+SUM(S5:AB5)</f>
        <v>#VALUE!</v>
      </c>
      <c r="AD5" s="32">
        <v>3.1</v>
      </c>
      <c r="AE5" s="33">
        <f>+Q5/30*SUM(V5:Z5)</f>
        <v>1170</v>
      </c>
      <c r="AF5" s="33">
        <f t="shared" ref="AF5:AF19" si="19">IF(P5="SI",113,0)</f>
        <v>113</v>
      </c>
      <c r="AG5" s="33">
        <f>+(Q5/30*Z5)*2</f>
        <v>0</v>
      </c>
      <c r="AH5" s="33">
        <v>400</v>
      </c>
      <c r="AI5" s="33">
        <f t="shared" si="11"/>
        <v>46.5</v>
      </c>
      <c r="AJ5" s="33">
        <f t="shared" si="12"/>
        <v>1729.5</v>
      </c>
      <c r="AK5" s="33">
        <f t="shared" si="0"/>
        <v>384</v>
      </c>
      <c r="AL5" s="33">
        <f t="shared" si="1"/>
        <v>720</v>
      </c>
      <c r="AM5" s="33">
        <f t="shared" si="2"/>
        <v>0</v>
      </c>
      <c r="AN5" s="33">
        <f t="shared" si="3"/>
        <v>0</v>
      </c>
      <c r="AO5" s="33">
        <f t="shared" si="4"/>
        <v>224.83500000000001</v>
      </c>
      <c r="AP5" s="33">
        <v>0</v>
      </c>
      <c r="AQ5" s="33"/>
      <c r="AR5" s="33">
        <v>0</v>
      </c>
      <c r="AS5" s="33">
        <v>1191.9949999999999</v>
      </c>
      <c r="AT5" s="33">
        <f t="shared" ref="AT5:AT37" si="20">+SUM(AM5:AS5)</f>
        <v>1416.83</v>
      </c>
      <c r="AU5" s="33">
        <f t="shared" si="13"/>
        <v>312.67000000000007</v>
      </c>
      <c r="AV5" s="33">
        <f t="shared" ref="AV5:AV37" si="21">AK5+AL5</f>
        <v>1104</v>
      </c>
      <c r="AW5" s="33">
        <f t="shared" si="14"/>
        <v>155.655</v>
      </c>
      <c r="AX5" s="33">
        <f t="shared" ref="AX5:AX37" si="22">AU5+AV5</f>
        <v>1416.67</v>
      </c>
      <c r="AY5" s="35"/>
      <c r="AZ5" s="34" t="s">
        <v>77</v>
      </c>
      <c r="BB5" s="33">
        <f t="shared" si="5"/>
        <v>300</v>
      </c>
      <c r="BC5" s="33">
        <f t="shared" si="15"/>
        <v>270</v>
      </c>
      <c r="BD5" s="33">
        <f t="shared" si="6"/>
        <v>220</v>
      </c>
      <c r="BE5" s="33">
        <f t="shared" si="7"/>
        <v>60</v>
      </c>
      <c r="BF5" s="33"/>
      <c r="BG5" s="33">
        <v>1591.9949999999999</v>
      </c>
      <c r="BH5" s="33">
        <f t="shared" si="8"/>
        <v>400</v>
      </c>
      <c r="BI5" s="33">
        <f t="shared" si="9"/>
        <v>1566.67</v>
      </c>
      <c r="BJ5" s="33">
        <f t="shared" si="16"/>
        <v>3539.1549999999997</v>
      </c>
      <c r="BK5" s="13">
        <f t="shared" ref="BK5:BK19" si="23">+BJ5/(V5+S5)</f>
        <v>136.12134615384613</v>
      </c>
      <c r="BL5" s="13">
        <f>+BK5-30</f>
        <v>106.12134615384613</v>
      </c>
    </row>
    <row r="6" spans="1:64" x14ac:dyDescent="0.3">
      <c r="A6">
        <v>15</v>
      </c>
      <c r="B6" s="30" t="s">
        <v>66</v>
      </c>
      <c r="C6" s="30">
        <v>75792147</v>
      </c>
      <c r="D6" s="30" t="s">
        <v>78</v>
      </c>
      <c r="E6" s="31">
        <v>38228</v>
      </c>
      <c r="F6" s="30" t="s">
        <v>68</v>
      </c>
      <c r="G6" s="30" t="s">
        <v>69</v>
      </c>
      <c r="H6" s="30" t="s">
        <v>79</v>
      </c>
      <c r="I6" s="30" t="s">
        <v>71</v>
      </c>
      <c r="J6" s="30" t="s">
        <v>80</v>
      </c>
      <c r="K6" s="30"/>
      <c r="L6" s="31">
        <v>46146</v>
      </c>
      <c r="M6" s="31">
        <v>46143</v>
      </c>
      <c r="N6" s="31">
        <v>46173</v>
      </c>
      <c r="O6" s="31" t="str">
        <f t="shared" si="17"/>
        <v>Mayo - 20265</v>
      </c>
      <c r="P6" s="32" t="s">
        <v>81</v>
      </c>
      <c r="Q6" s="33">
        <v>1300</v>
      </c>
      <c r="R6" s="33">
        <v>120</v>
      </c>
      <c r="S6" s="32">
        <f>+COUNTIFS('[1]BD Asistencia'!$E:$E,"A",'[1]BD Asistencia'!$C:$C,'Planilla Mensual'!$D6,'[1]BD Asistencia'!$D:$D,"&lt;"&amp;'Planilla Mensual'!L6)</f>
        <v>1</v>
      </c>
      <c r="T6" s="32">
        <f>+COUNTIFS('[1]BD Asistencia'!$E:$E,"DR",'[1]BD Asistencia'!$C:$C,'Planilla Mensual'!$D6,'[1]BD Asistencia'!$D:$D,"&lt;"&amp;L6)</f>
        <v>0</v>
      </c>
      <c r="U6" s="32" t="e">
        <f>+COUNTIFS('[1]BD Asistencia'!$H:$H,"NO REMUNERADO",'[1]BD Asistencia'!$C:$C,'Planilla Mensual'!$D6,'[1]BD Asistencia'!$D:$D,"&lt;"&amp;L6)</f>
        <v>#VALUE!</v>
      </c>
      <c r="V6" s="32">
        <f>+COUNTIFS('[1]BD Asistencia'!$E:$E,"A",'[1]BD Asistencia'!$C:$C,'Planilla Mensual'!$D6,'[1]BD Asistencia'!$D:$D,"&gt;="&amp;'Planilla Mensual'!M6,'[1]BD Asistencia'!$D:$D,"&lt;="&amp;'Planilla Mensual'!N6)-S6</f>
        <v>24</v>
      </c>
      <c r="W6" s="32">
        <f>+COUNTIFS('[1]BD Asistencia'!$E:$E,"V",'[1]BD Asistencia'!$C:$C,'Planilla Mensual'!$D6,'[1]BD Asistencia'!$D:$D,"&gt;="&amp;'Planilla Mensual'!M6,'[1]BD Asistencia'!$D:$D,"&lt;="&amp;'Planilla Mensual'!N6)</f>
        <v>0</v>
      </c>
      <c r="X6" s="32">
        <f>+COUNTIFS('[1]BD Asistencia'!$E:$E,"DR",'[1]BD Asistencia'!$C:$C,'Planilla Mensual'!$D6,'[1]BD Asistencia'!$D:$D,"&gt;="&amp;'Planilla Mensual'!M6,'[1]BD Asistencia'!$D:$D,"&lt;="&amp;'Planilla Mensual'!N6)-T6</f>
        <v>3</v>
      </c>
      <c r="Y6" s="32">
        <f>+COUNTIFS('[1]BD Asistencia'!$E:$E,"h",'[1]BD Asistencia'!$C:$C,'Planilla Mensual'!$D6,'[1]BD Asistencia'!$D:$D,"&gt;="&amp;'Planilla Mensual'!M6,'[1]BD Asistencia'!$D:$D,"&lt;="&amp;'Planilla Mensual'!N6)</f>
        <v>0</v>
      </c>
      <c r="Z6" s="32">
        <f>+COUNTIFS('[1]BD Asistencia'!$E:$E,"h/A",'[1]BD Asistencia'!$C:$C,'Planilla Mensual'!$D6,'[1]BD Asistencia'!$D:$D,"&gt;="&amp;'Planilla Mensual'!M6,'[1]BD Asistencia'!$D:$D,"&lt;="&amp;'Planilla Mensual'!N6)</f>
        <v>1</v>
      </c>
      <c r="AA6" s="32" t="e">
        <f>+COUNTIFS('[1]BD Asistencia'!$H:$H,"NO REMUNERADO",'[1]BD Asistencia'!$C:$C,'Planilla Mensual'!$D6,'[1]BD Asistencia'!$D:$D,"&gt;="&amp;'Planilla Mensual'!M6,'[1]BD Asistencia'!$D:$D,"&lt;="&amp;'Planilla Mensual'!N6)-U6</f>
        <v>#VALUE!</v>
      </c>
      <c r="AB6" s="32">
        <f>+COUNTIFS('[1]BD Asistencia'!$E:$E,"F",'[1]BD Asistencia'!$C:$C,'Planilla Mensual'!$D6,'[1]BD Asistencia'!$D:$D,"&gt;="&amp;'Planilla Mensual'!M6,'[1]BD Asistencia'!$D:$D,"&lt;="&amp;'Planilla Mensual'!N6)</f>
        <v>0</v>
      </c>
      <c r="AC6" s="32" t="e">
        <f t="shared" si="18"/>
        <v>#VALUE!</v>
      </c>
      <c r="AD6" s="32">
        <v>8.3000000000000007</v>
      </c>
      <c r="AE6" s="33">
        <f>+Q6/30*SUM(V6:Z6)</f>
        <v>1213.3333333333335</v>
      </c>
      <c r="AF6" s="33">
        <f t="shared" si="19"/>
        <v>0</v>
      </c>
      <c r="AG6" s="33">
        <f>+(Q6/30*Z6)*2</f>
        <v>86.666666666666671</v>
      </c>
      <c r="AH6" s="33">
        <v>400</v>
      </c>
      <c r="AI6" s="33">
        <f t="shared" si="11"/>
        <v>124.50000000000001</v>
      </c>
      <c r="AJ6" s="33">
        <f t="shared" si="12"/>
        <v>1824.5000000000002</v>
      </c>
      <c r="AK6" s="33">
        <f t="shared" si="0"/>
        <v>384</v>
      </c>
      <c r="AL6" s="33">
        <f t="shared" si="1"/>
        <v>720</v>
      </c>
      <c r="AM6" s="33">
        <f t="shared" si="2"/>
        <v>182.45000000000005</v>
      </c>
      <c r="AN6" s="33">
        <f t="shared" si="3"/>
        <v>24.995650000000005</v>
      </c>
      <c r="AO6" s="33">
        <f t="shared" si="4"/>
        <v>0</v>
      </c>
      <c r="AP6" s="33">
        <v>0</v>
      </c>
      <c r="AQ6" s="33"/>
      <c r="AR6" s="33">
        <v>0</v>
      </c>
      <c r="AS6" s="33">
        <v>1227.8913499999999</v>
      </c>
      <c r="AT6" s="33">
        <f t="shared" si="20"/>
        <v>1435.337</v>
      </c>
      <c r="AU6" s="33">
        <f t="shared" si="13"/>
        <v>389.16300000000024</v>
      </c>
      <c r="AV6" s="33">
        <f>AK6+AL6</f>
        <v>1104</v>
      </c>
      <c r="AW6" s="33">
        <f t="shared" si="14"/>
        <v>164.20500000000001</v>
      </c>
      <c r="AX6" s="33">
        <f t="shared" si="22"/>
        <v>1493.1630000000002</v>
      </c>
      <c r="AY6" s="35"/>
      <c r="AZ6" s="34" t="s">
        <v>82</v>
      </c>
      <c r="BB6" s="33">
        <f t="shared" si="5"/>
        <v>300</v>
      </c>
      <c r="BC6" s="33">
        <f t="shared" si="15"/>
        <v>280</v>
      </c>
      <c r="BD6" s="33">
        <f t="shared" si="6"/>
        <v>120</v>
      </c>
      <c r="BE6" s="33">
        <f t="shared" si="7"/>
        <v>30</v>
      </c>
      <c r="BF6" s="33"/>
      <c r="BG6" s="33">
        <v>1497.8913499999999</v>
      </c>
      <c r="BH6" s="33">
        <f t="shared" si="8"/>
        <v>270</v>
      </c>
      <c r="BI6" s="33">
        <f t="shared" si="9"/>
        <v>1653.1630000000002</v>
      </c>
      <c r="BJ6" s="33">
        <f t="shared" si="16"/>
        <v>3522.7049999999999</v>
      </c>
      <c r="BK6" s="13">
        <f t="shared" si="23"/>
        <v>140.90819999999999</v>
      </c>
      <c r="BL6" s="13">
        <f t="shared" ref="BL6:BL19" si="24">+BK6-30</f>
        <v>110.90819999999999</v>
      </c>
    </row>
    <row r="7" spans="1:64" x14ac:dyDescent="0.3">
      <c r="A7">
        <v>15</v>
      </c>
      <c r="B7" s="30" t="s">
        <v>66</v>
      </c>
      <c r="C7" s="30">
        <v>74242456</v>
      </c>
      <c r="D7" s="30" t="s">
        <v>83</v>
      </c>
      <c r="E7" s="31">
        <v>37386</v>
      </c>
      <c r="F7" s="30" t="s">
        <v>68</v>
      </c>
      <c r="G7" s="30" t="s">
        <v>69</v>
      </c>
      <c r="H7" s="30" t="s">
        <v>84</v>
      </c>
      <c r="I7" s="30" t="s">
        <v>71</v>
      </c>
      <c r="J7" s="30" t="s">
        <v>85</v>
      </c>
      <c r="K7" s="30"/>
      <c r="L7" s="31">
        <v>46146</v>
      </c>
      <c r="M7" s="31">
        <v>46143</v>
      </c>
      <c r="N7" s="31">
        <v>46172</v>
      </c>
      <c r="O7" s="31" t="str">
        <f t="shared" si="17"/>
        <v>Mayo - 20265</v>
      </c>
      <c r="P7" s="32" t="s">
        <v>81</v>
      </c>
      <c r="Q7" s="33">
        <v>1300</v>
      </c>
      <c r="R7" s="33">
        <v>110</v>
      </c>
      <c r="S7" s="32">
        <f>+COUNTIFS('[1]BD Asistencia'!$E:$E,"A",'[1]BD Asistencia'!$C:$C,'Planilla Mensual'!$D7,'[1]BD Asistencia'!$D:$D,"&lt;"&amp;'Planilla Mensual'!L7)</f>
        <v>2</v>
      </c>
      <c r="T7" s="32">
        <f>+COUNTIFS('[1]BD Asistencia'!$E:$E,"DR",'[1]BD Asistencia'!$C:$C,'Planilla Mensual'!$D7,'[1]BD Asistencia'!$D:$D,"&lt;"&amp;L7)</f>
        <v>0</v>
      </c>
      <c r="U7" s="32" t="e">
        <f>+COUNTIFS('[1]BD Asistencia'!$H:$H,"NO REMUNERADO",'[1]BD Asistencia'!$C:$C,'Planilla Mensual'!$D7,'[1]BD Asistencia'!$D:$D,"&lt;"&amp;L7)</f>
        <v>#VALUE!</v>
      </c>
      <c r="V7" s="32">
        <f>+COUNTIFS('[1]BD Asistencia'!$E:$E,"A",'[1]BD Asistencia'!$C:$C,'Planilla Mensual'!$D7,'[1]BD Asistencia'!$D:$D,"&gt;="&amp;'Planilla Mensual'!M7,'[1]BD Asistencia'!$D:$D,"&lt;="&amp;'Planilla Mensual'!N7)-S7</f>
        <v>24</v>
      </c>
      <c r="W7" s="32">
        <f>+COUNTIFS('[1]BD Asistencia'!$E:$E,"V",'[1]BD Asistencia'!$C:$C,'Planilla Mensual'!$D7,'[1]BD Asistencia'!$D:$D,"&gt;="&amp;'Planilla Mensual'!M7,'[1]BD Asistencia'!$D:$D,"&lt;="&amp;'Planilla Mensual'!N7)</f>
        <v>0</v>
      </c>
      <c r="X7" s="32">
        <f>+COUNTIFS('[1]BD Asistencia'!$E:$E,"DR",'[1]BD Asistencia'!$C:$C,'Planilla Mensual'!$D7,'[1]BD Asistencia'!$D:$D,"&gt;="&amp;'Planilla Mensual'!M7,'[1]BD Asistencia'!$D:$D,"&lt;="&amp;'Planilla Mensual'!N7)-T7</f>
        <v>3</v>
      </c>
      <c r="Y7" s="32">
        <f>+COUNTIFS('[1]BD Asistencia'!$E:$E,"h",'[1]BD Asistencia'!$C:$C,'Planilla Mensual'!$D7,'[1]BD Asistencia'!$D:$D,"&gt;="&amp;'Planilla Mensual'!M7,'[1]BD Asistencia'!$D:$D,"&lt;="&amp;'Planilla Mensual'!N7)</f>
        <v>0</v>
      </c>
      <c r="Z7" s="32">
        <f>+COUNTIFS('[1]BD Asistencia'!$E:$E,"h/A",'[1]BD Asistencia'!$C:$C,'Planilla Mensual'!$D7,'[1]BD Asistencia'!$D:$D,"&gt;="&amp;'Planilla Mensual'!M7,'[1]BD Asistencia'!$D:$D,"&lt;="&amp;'Planilla Mensual'!N7)</f>
        <v>0</v>
      </c>
      <c r="AA7" s="32" t="e">
        <f>+COUNTIFS('[1]BD Asistencia'!$H:$H,"NO REMUNERADO",'[1]BD Asistencia'!$C:$C,'Planilla Mensual'!$D7,'[1]BD Asistencia'!$D:$D,"&gt;="&amp;'Planilla Mensual'!M7,'[1]BD Asistencia'!$D:$D,"&lt;="&amp;'Planilla Mensual'!N7)-U7</f>
        <v>#VALUE!</v>
      </c>
      <c r="AB7" s="32">
        <f>+COUNTIFS('[1]BD Asistencia'!$E:$E,"F",'[1]BD Asistencia'!$C:$C,'Planilla Mensual'!$D7,'[1]BD Asistencia'!$D:$D,"&gt;="&amp;'Planilla Mensual'!M7,'[1]BD Asistencia'!$D:$D,"&lt;="&amp;'Planilla Mensual'!N7)</f>
        <v>0</v>
      </c>
      <c r="AC7" s="32" t="e">
        <f t="shared" si="18"/>
        <v>#VALUE!</v>
      </c>
      <c r="AD7" s="32">
        <v>4.0999999999999996</v>
      </c>
      <c r="AE7" s="33">
        <f t="shared" ref="AE7:AE18" si="25">+Q7/30*SUM(V7:Z7)</f>
        <v>1170</v>
      </c>
      <c r="AF7" s="33">
        <f t="shared" si="19"/>
        <v>0</v>
      </c>
      <c r="AG7" s="33">
        <f t="shared" si="10"/>
        <v>0</v>
      </c>
      <c r="AH7" s="33">
        <v>400</v>
      </c>
      <c r="AI7" s="33">
        <f t="shared" si="11"/>
        <v>61.499999999999993</v>
      </c>
      <c r="AJ7" s="33">
        <f t="shared" si="12"/>
        <v>1631.5</v>
      </c>
      <c r="AK7" s="33">
        <f t="shared" si="0"/>
        <v>384</v>
      </c>
      <c r="AL7" s="33">
        <f t="shared" si="1"/>
        <v>720</v>
      </c>
      <c r="AM7" s="33">
        <f t="shared" si="2"/>
        <v>163.15</v>
      </c>
      <c r="AN7" s="33">
        <f t="shared" si="3"/>
        <v>22.35155</v>
      </c>
      <c r="AO7" s="33">
        <f t="shared" si="4"/>
        <v>0</v>
      </c>
      <c r="AP7" s="33">
        <v>0</v>
      </c>
      <c r="AQ7" s="33"/>
      <c r="AR7" s="33">
        <v>0</v>
      </c>
      <c r="AS7" s="33">
        <v>1154.7716</v>
      </c>
      <c r="AT7" s="33">
        <f t="shared" si="20"/>
        <v>1340.27315</v>
      </c>
      <c r="AU7" s="33">
        <f t="shared" si="13"/>
        <v>291.22685000000001</v>
      </c>
      <c r="AV7" s="33">
        <f t="shared" si="21"/>
        <v>1104</v>
      </c>
      <c r="AW7" s="33">
        <f t="shared" si="14"/>
        <v>146.83500000000001</v>
      </c>
      <c r="AX7" s="33">
        <f t="shared" si="22"/>
        <v>1395.22685</v>
      </c>
      <c r="AY7" s="35"/>
      <c r="AZ7" s="34" t="s">
        <v>86</v>
      </c>
      <c r="BB7" s="33">
        <f t="shared" si="5"/>
        <v>300</v>
      </c>
      <c r="BC7" s="33">
        <f t="shared" si="15"/>
        <v>270</v>
      </c>
      <c r="BD7" s="33">
        <f t="shared" si="6"/>
        <v>220</v>
      </c>
      <c r="BE7" s="33">
        <f t="shared" si="7"/>
        <v>60</v>
      </c>
      <c r="BF7" s="33"/>
      <c r="BG7" s="33">
        <v>1554.7716</v>
      </c>
      <c r="BH7" s="33">
        <f t="shared" si="8"/>
        <v>400</v>
      </c>
      <c r="BI7" s="33">
        <f t="shared" si="9"/>
        <v>1545.22685</v>
      </c>
      <c r="BJ7" s="33">
        <f t="shared" si="16"/>
        <v>3432.335</v>
      </c>
      <c r="BK7" s="13">
        <f t="shared" si="23"/>
        <v>132.01288461538462</v>
      </c>
      <c r="BL7" s="13">
        <f t="shared" si="24"/>
        <v>102.01288461538462</v>
      </c>
    </row>
    <row r="8" spans="1:64" x14ac:dyDescent="0.3">
      <c r="A8">
        <v>15</v>
      </c>
      <c r="B8" s="30" t="s">
        <v>66</v>
      </c>
      <c r="C8" s="30">
        <v>48787545</v>
      </c>
      <c r="D8" s="30" t="s">
        <v>87</v>
      </c>
      <c r="E8" s="31">
        <v>34609</v>
      </c>
      <c r="F8" s="30" t="s">
        <v>68</v>
      </c>
      <c r="G8" s="30" t="s">
        <v>88</v>
      </c>
      <c r="H8" s="30" t="s">
        <v>89</v>
      </c>
      <c r="I8" s="30" t="s">
        <v>71</v>
      </c>
      <c r="J8" s="30" t="s">
        <v>90</v>
      </c>
      <c r="K8" s="30"/>
      <c r="L8" s="31">
        <v>46146</v>
      </c>
      <c r="M8" s="31">
        <v>46143</v>
      </c>
      <c r="N8" s="31">
        <v>46172</v>
      </c>
      <c r="O8" s="31" t="str">
        <f t="shared" si="17"/>
        <v>Mayo - 20265</v>
      </c>
      <c r="P8" s="32" t="s">
        <v>73</v>
      </c>
      <c r="Q8" s="33">
        <v>1300</v>
      </c>
      <c r="R8" s="33">
        <v>100</v>
      </c>
      <c r="S8" s="32">
        <f>+COUNTIFS('[1]BD Asistencia'!$E:$E,"A",'[1]BD Asistencia'!$C:$C,'Planilla Mensual'!$D8,'[1]BD Asistencia'!$D:$D,"&lt;"&amp;'Planilla Mensual'!L8)</f>
        <v>1</v>
      </c>
      <c r="T8" s="32">
        <f>+COUNTIFS('[1]BD Asistencia'!$E:$E,"DR",'[1]BD Asistencia'!$C:$C,'Planilla Mensual'!$D8,'[1]BD Asistencia'!$D:$D,"&lt;"&amp;L8)</f>
        <v>0</v>
      </c>
      <c r="U8" s="32" t="e">
        <f>+COUNTIFS('[1]BD Asistencia'!$H:$H,"NO REMUNERADO",'[1]BD Asistencia'!$C:$C,'Planilla Mensual'!$D8,'[1]BD Asistencia'!$D:$D,"&lt;"&amp;L8)</f>
        <v>#VALUE!</v>
      </c>
      <c r="V8" s="32">
        <f>+COUNTIFS('[1]BD Asistencia'!$E:$E,"A",'[1]BD Asistencia'!$C:$C,'Planilla Mensual'!$D8,'[1]BD Asistencia'!$D:$D,"&gt;="&amp;'Planilla Mensual'!M8,'[1]BD Asistencia'!$D:$D,"&lt;="&amp;'Planilla Mensual'!N8)-S8</f>
        <v>24</v>
      </c>
      <c r="W8" s="32">
        <f>+COUNTIFS('[1]BD Asistencia'!$E:$E,"V",'[1]BD Asistencia'!$C:$C,'Planilla Mensual'!$D8,'[1]BD Asistencia'!$D:$D,"&gt;="&amp;'Planilla Mensual'!M8,'[1]BD Asistencia'!$D:$D,"&lt;="&amp;'Planilla Mensual'!N8)</f>
        <v>0</v>
      </c>
      <c r="X8" s="32">
        <f>+COUNTIFS('[1]BD Asistencia'!$E:$E,"DR",'[1]BD Asistencia'!$C:$C,'Planilla Mensual'!$D8,'[1]BD Asistencia'!$D:$D,"&gt;="&amp;'Planilla Mensual'!M8,'[1]BD Asistencia'!$D:$D,"&lt;="&amp;'Planilla Mensual'!N8)-T8</f>
        <v>3</v>
      </c>
      <c r="Y8" s="32">
        <f>+COUNTIFS('[1]BD Asistencia'!$E:$E,"h",'[1]BD Asistencia'!$C:$C,'Planilla Mensual'!$D8,'[1]BD Asistencia'!$D:$D,"&gt;="&amp;'Planilla Mensual'!M8,'[1]BD Asistencia'!$D:$D,"&lt;="&amp;'Planilla Mensual'!N8)</f>
        <v>0</v>
      </c>
      <c r="Z8" s="32">
        <f>+COUNTIFS('[1]BD Asistencia'!$E:$E,"h/A",'[1]BD Asistencia'!$C:$C,'Planilla Mensual'!$D8,'[1]BD Asistencia'!$D:$D,"&gt;="&amp;'Planilla Mensual'!M8,'[1]BD Asistencia'!$D:$D,"&lt;="&amp;'Planilla Mensual'!N8)</f>
        <v>0</v>
      </c>
      <c r="AA8" s="32" t="e">
        <f>+COUNTIFS('[1]BD Asistencia'!$H:$H,"NO REMUNERADO",'[1]BD Asistencia'!$C:$C,'Planilla Mensual'!$D8,'[1]BD Asistencia'!$D:$D,"&gt;="&amp;'Planilla Mensual'!M8,'[1]BD Asistencia'!$D:$D,"&lt;="&amp;'Planilla Mensual'!N8)-U8</f>
        <v>#VALUE!</v>
      </c>
      <c r="AB8" s="32">
        <f>+COUNTIFS('[1]BD Asistencia'!$E:$E,"F",'[1]BD Asistencia'!$C:$C,'Planilla Mensual'!$D8,'[1]BD Asistencia'!$D:$D,"&gt;="&amp;'Planilla Mensual'!M8,'[1]BD Asistencia'!$D:$D,"&lt;="&amp;'Planilla Mensual'!N8)</f>
        <v>0</v>
      </c>
      <c r="AC8" s="32" t="e">
        <f t="shared" si="18"/>
        <v>#VALUE!</v>
      </c>
      <c r="AD8" s="32">
        <v>13.9</v>
      </c>
      <c r="AE8" s="33">
        <f t="shared" si="25"/>
        <v>1170</v>
      </c>
      <c r="AF8" s="33">
        <f t="shared" si="19"/>
        <v>113</v>
      </c>
      <c r="AG8" s="33">
        <f t="shared" si="10"/>
        <v>0</v>
      </c>
      <c r="AH8" s="33">
        <v>400</v>
      </c>
      <c r="AI8" s="33">
        <f t="shared" si="11"/>
        <v>208.5</v>
      </c>
      <c r="AJ8" s="33">
        <f t="shared" si="12"/>
        <v>1891.5</v>
      </c>
      <c r="AK8" s="33">
        <f t="shared" si="0"/>
        <v>384</v>
      </c>
      <c r="AL8" s="33">
        <f t="shared" si="1"/>
        <v>720</v>
      </c>
      <c r="AM8" s="33">
        <f t="shared" si="2"/>
        <v>189.15</v>
      </c>
      <c r="AN8" s="33">
        <f t="shared" si="3"/>
        <v>25.913550000000001</v>
      </c>
      <c r="AO8" s="33">
        <f t="shared" si="4"/>
        <v>0</v>
      </c>
      <c r="AP8" s="33">
        <v>0</v>
      </c>
      <c r="AQ8" s="33"/>
      <c r="AR8" s="33">
        <v>100</v>
      </c>
      <c r="AS8" s="33">
        <v>1254.0372</v>
      </c>
      <c r="AT8" s="33">
        <f t="shared" si="20"/>
        <v>1569.1007500000001</v>
      </c>
      <c r="AU8" s="33">
        <f t="shared" si="13"/>
        <v>322.39924999999994</v>
      </c>
      <c r="AV8" s="33">
        <f t="shared" si="21"/>
        <v>1104</v>
      </c>
      <c r="AW8" s="33">
        <f t="shared" si="14"/>
        <v>170.23499999999999</v>
      </c>
      <c r="AX8" s="33">
        <f t="shared" si="22"/>
        <v>1426.3992499999999</v>
      </c>
      <c r="AY8" s="35"/>
      <c r="AZ8" s="34" t="s">
        <v>91</v>
      </c>
      <c r="BB8" s="33">
        <f t="shared" si="5"/>
        <v>300</v>
      </c>
      <c r="BC8" s="33">
        <f t="shared" si="15"/>
        <v>270</v>
      </c>
      <c r="BD8" s="33">
        <f t="shared" si="6"/>
        <v>100</v>
      </c>
      <c r="BE8" s="33">
        <f t="shared" si="7"/>
        <v>30</v>
      </c>
      <c r="BF8" s="33"/>
      <c r="BG8" s="33">
        <v>1504.0372</v>
      </c>
      <c r="BH8" s="33">
        <f t="shared" si="8"/>
        <v>250</v>
      </c>
      <c r="BI8" s="33">
        <f t="shared" si="9"/>
        <v>1576.3992499999999</v>
      </c>
      <c r="BJ8" s="33">
        <f t="shared" si="16"/>
        <v>3565.7350000000001</v>
      </c>
      <c r="BK8" s="13">
        <f t="shared" si="23"/>
        <v>142.6294</v>
      </c>
      <c r="BL8" s="13">
        <f t="shared" si="24"/>
        <v>112.6294</v>
      </c>
    </row>
    <row r="9" spans="1:64" x14ac:dyDescent="0.3">
      <c r="A9">
        <v>15</v>
      </c>
      <c r="B9" s="30" t="s">
        <v>66</v>
      </c>
      <c r="C9" s="30">
        <v>73814026</v>
      </c>
      <c r="D9" s="30" t="s">
        <v>92</v>
      </c>
      <c r="E9" s="31">
        <v>36718</v>
      </c>
      <c r="F9" s="30" t="s">
        <v>93</v>
      </c>
      <c r="G9" s="30" t="s">
        <v>69</v>
      </c>
      <c r="H9" s="30" t="s">
        <v>94</v>
      </c>
      <c r="I9" s="30" t="s">
        <v>71</v>
      </c>
      <c r="J9" s="30" t="s">
        <v>95</v>
      </c>
      <c r="K9" s="30"/>
      <c r="L9" s="31">
        <v>46146</v>
      </c>
      <c r="M9" s="31">
        <v>46143</v>
      </c>
      <c r="N9" s="31">
        <v>46172</v>
      </c>
      <c r="O9" s="31" t="str">
        <f t="shared" si="17"/>
        <v>Mayo - 20265</v>
      </c>
      <c r="P9" s="32" t="s">
        <v>73</v>
      </c>
      <c r="Q9" s="33">
        <v>1200</v>
      </c>
      <c r="R9" s="33">
        <v>80</v>
      </c>
      <c r="S9" s="32">
        <f>+COUNTIFS('[1]BD Asistencia'!$E:$E,"A",'[1]BD Asistencia'!$C:$C,'Planilla Mensual'!$D9,'[1]BD Asistencia'!$D:$D,"&lt;"&amp;'Planilla Mensual'!L9)</f>
        <v>2</v>
      </c>
      <c r="T9" s="32">
        <f>+COUNTIFS('[1]BD Asistencia'!$E:$E,"DR",'[1]BD Asistencia'!$C:$C,'Planilla Mensual'!$D9,'[1]BD Asistencia'!$D:$D,"&lt;"&amp;L9)</f>
        <v>0</v>
      </c>
      <c r="U9" s="32" t="e">
        <f>+COUNTIFS('[1]BD Asistencia'!$H:$H,"NO REMUNERADO",'[1]BD Asistencia'!$C:$C,'Planilla Mensual'!$D9,'[1]BD Asistencia'!$D:$D,"&lt;"&amp;L9)</f>
        <v>#VALUE!</v>
      </c>
      <c r="V9" s="32">
        <f>+COUNTIFS('[1]BD Asistencia'!$E:$E,"A",'[1]BD Asistencia'!$C:$C,'Planilla Mensual'!$D9,'[1]BD Asistencia'!$D:$D,"&gt;="&amp;'Planilla Mensual'!M9,'[1]BD Asistencia'!$D:$D,"&lt;="&amp;'Planilla Mensual'!N9)-S9</f>
        <v>24</v>
      </c>
      <c r="W9" s="32">
        <f>+COUNTIFS('[1]BD Asistencia'!$E:$E,"V",'[1]BD Asistencia'!$C:$C,'Planilla Mensual'!$D9,'[1]BD Asistencia'!$D:$D,"&gt;="&amp;'Planilla Mensual'!M9,'[1]BD Asistencia'!$D:$D,"&lt;="&amp;'Planilla Mensual'!N9)</f>
        <v>0</v>
      </c>
      <c r="X9" s="32">
        <f>+COUNTIFS('[1]BD Asistencia'!$E:$E,"DR",'[1]BD Asistencia'!$C:$C,'Planilla Mensual'!$D9,'[1]BD Asistencia'!$D:$D,"&gt;="&amp;'Planilla Mensual'!M9,'[1]BD Asistencia'!$D:$D,"&lt;="&amp;'Planilla Mensual'!N9)-T9</f>
        <v>3</v>
      </c>
      <c r="Y9" s="32">
        <f>+COUNTIFS('[1]BD Asistencia'!$E:$E,"h",'[1]BD Asistencia'!$C:$C,'Planilla Mensual'!$D9,'[1]BD Asistencia'!$D:$D,"&gt;="&amp;'Planilla Mensual'!M9,'[1]BD Asistencia'!$D:$D,"&lt;="&amp;'Planilla Mensual'!N9)</f>
        <v>0</v>
      </c>
      <c r="Z9" s="32">
        <f>+COUNTIFS('[1]BD Asistencia'!$E:$E,"h/A",'[1]BD Asistencia'!$C:$C,'Planilla Mensual'!$D9,'[1]BD Asistencia'!$D:$D,"&gt;="&amp;'Planilla Mensual'!M9,'[1]BD Asistencia'!$D:$D,"&lt;="&amp;'Planilla Mensual'!N9)</f>
        <v>0</v>
      </c>
      <c r="AA9" s="32" t="e">
        <f>+COUNTIFS('[1]BD Asistencia'!$H:$H,"NO REMUNERADO",'[1]BD Asistencia'!$C:$C,'Planilla Mensual'!$D9,'[1]BD Asistencia'!$D:$D,"&gt;="&amp;'Planilla Mensual'!M9,'[1]BD Asistencia'!$D:$D,"&lt;="&amp;'Planilla Mensual'!N9)-U9</f>
        <v>#VALUE!</v>
      </c>
      <c r="AB9" s="32">
        <f>+COUNTIFS('[1]BD Asistencia'!$E:$E,"F",'[1]BD Asistencia'!$C:$C,'Planilla Mensual'!$D9,'[1]BD Asistencia'!$D:$D,"&gt;="&amp;'Planilla Mensual'!M9,'[1]BD Asistencia'!$D:$D,"&lt;="&amp;'Planilla Mensual'!N9)</f>
        <v>0</v>
      </c>
      <c r="AC9" s="32" t="e">
        <f t="shared" si="18"/>
        <v>#VALUE!</v>
      </c>
      <c r="AD9" s="32">
        <v>4.5999999999999996</v>
      </c>
      <c r="AE9" s="33">
        <f t="shared" si="25"/>
        <v>1080</v>
      </c>
      <c r="AF9" s="33">
        <f t="shared" si="19"/>
        <v>113</v>
      </c>
      <c r="AG9" s="33">
        <f t="shared" si="10"/>
        <v>0</v>
      </c>
      <c r="AH9" s="33">
        <v>400</v>
      </c>
      <c r="AI9" s="33">
        <f t="shared" si="11"/>
        <v>69</v>
      </c>
      <c r="AJ9" s="33">
        <f t="shared" si="12"/>
        <v>1662</v>
      </c>
      <c r="AK9" s="33">
        <f t="shared" si="0"/>
        <v>96</v>
      </c>
      <c r="AL9" s="33">
        <f t="shared" si="1"/>
        <v>720</v>
      </c>
      <c r="AM9" s="33">
        <f t="shared" si="2"/>
        <v>166.20000000000002</v>
      </c>
      <c r="AN9" s="33">
        <f t="shared" si="3"/>
        <v>22.769400000000001</v>
      </c>
      <c r="AO9" s="33">
        <f t="shared" si="4"/>
        <v>0</v>
      </c>
      <c r="AP9" s="33">
        <v>0</v>
      </c>
      <c r="AQ9" s="33"/>
      <c r="AR9" s="33">
        <v>0</v>
      </c>
      <c r="AS9" s="33">
        <v>1026.7599500000001</v>
      </c>
      <c r="AT9" s="33">
        <f t="shared" si="20"/>
        <v>1215.7293500000001</v>
      </c>
      <c r="AU9" s="33">
        <f t="shared" si="13"/>
        <v>446.27064999999993</v>
      </c>
      <c r="AV9" s="33">
        <f t="shared" si="21"/>
        <v>816</v>
      </c>
      <c r="AW9" s="33">
        <f t="shared" si="14"/>
        <v>149.57999999999998</v>
      </c>
      <c r="AX9" s="33">
        <f t="shared" si="22"/>
        <v>1262.2706499999999</v>
      </c>
      <c r="AY9" s="35"/>
      <c r="AZ9" s="34" t="s">
        <v>96</v>
      </c>
      <c r="BB9" s="33">
        <f t="shared" si="5"/>
        <v>0</v>
      </c>
      <c r="BC9" s="33">
        <f t="shared" si="15"/>
        <v>0</v>
      </c>
      <c r="BD9" s="33">
        <f t="shared" ref="BD9:BD25" si="26">+R9*(S9+T9)</f>
        <v>160</v>
      </c>
      <c r="BE9" s="33">
        <f t="shared" si="7"/>
        <v>60</v>
      </c>
      <c r="BF9" s="33"/>
      <c r="BG9" s="33">
        <v>1246.7599500000001</v>
      </c>
      <c r="BH9" s="33">
        <f t="shared" si="8"/>
        <v>220</v>
      </c>
      <c r="BI9" s="33">
        <f t="shared" si="9"/>
        <v>1262.2706499999999</v>
      </c>
      <c r="BJ9" s="33">
        <f t="shared" si="16"/>
        <v>2847.58</v>
      </c>
      <c r="BK9" s="13">
        <f t="shared" si="23"/>
        <v>109.52230769230769</v>
      </c>
      <c r="BL9" s="13">
        <f t="shared" si="24"/>
        <v>79.522307692307692</v>
      </c>
    </row>
    <row r="10" spans="1:64" x14ac:dyDescent="0.3">
      <c r="A10">
        <v>15</v>
      </c>
      <c r="B10" s="30" t="s">
        <v>66</v>
      </c>
      <c r="C10" s="30">
        <v>80780158</v>
      </c>
      <c r="D10" s="30" t="s">
        <v>97</v>
      </c>
      <c r="E10" s="31">
        <v>39304</v>
      </c>
      <c r="F10" s="30" t="s">
        <v>93</v>
      </c>
      <c r="G10" s="30" t="s">
        <v>98</v>
      </c>
      <c r="H10" s="30" t="s">
        <v>99</v>
      </c>
      <c r="I10" s="30" t="s">
        <v>71</v>
      </c>
      <c r="J10" s="30" t="s">
        <v>100</v>
      </c>
      <c r="K10" s="30"/>
      <c r="L10" s="31">
        <v>46146</v>
      </c>
      <c r="M10" s="31">
        <v>46143</v>
      </c>
      <c r="N10" s="31">
        <v>46173</v>
      </c>
      <c r="O10" s="31" t="str">
        <f t="shared" si="17"/>
        <v>Mayo - 20265</v>
      </c>
      <c r="P10" s="32" t="s">
        <v>81</v>
      </c>
      <c r="Q10" s="33">
        <v>1200</v>
      </c>
      <c r="R10" s="33">
        <v>80</v>
      </c>
      <c r="S10" s="32">
        <f>+COUNTIFS('[1]BD Asistencia'!$E:$E,"A",'[1]BD Asistencia'!$C:$C,'Planilla Mensual'!$D10,'[1]BD Asistencia'!$D:$D,"&lt;"&amp;'Planilla Mensual'!L10)</f>
        <v>1</v>
      </c>
      <c r="T10" s="32">
        <f>+COUNTIFS('[1]BD Asistencia'!$E:$E,"DR",'[1]BD Asistencia'!$C:$C,'Planilla Mensual'!$D10,'[1]BD Asistencia'!$D:$D,"&lt;"&amp;L10)</f>
        <v>0</v>
      </c>
      <c r="U10" s="32" t="e">
        <f>+COUNTIFS('[1]BD Asistencia'!$H:$H,"NO REMUNERADO",'[1]BD Asistencia'!$C:$C,'Planilla Mensual'!$D10,'[1]BD Asistencia'!$D:$D,"&lt;"&amp;L10)</f>
        <v>#VALUE!</v>
      </c>
      <c r="V10" s="32">
        <f>+COUNTIFS('[1]BD Asistencia'!$E:$E,"A",'[1]BD Asistencia'!$C:$C,'Planilla Mensual'!$D10,'[1]BD Asistencia'!$D:$D,"&gt;="&amp;'Planilla Mensual'!M10,'[1]BD Asistencia'!$D:$D,"&lt;="&amp;'Planilla Mensual'!N10)-S10</f>
        <v>24</v>
      </c>
      <c r="W10" s="32">
        <f>+COUNTIFS('[1]BD Asistencia'!$E:$E,"V",'[1]BD Asistencia'!$C:$C,'Planilla Mensual'!$D10,'[1]BD Asistencia'!$D:$D,"&gt;="&amp;'Planilla Mensual'!M10,'[1]BD Asistencia'!$D:$D,"&lt;="&amp;'Planilla Mensual'!N10)</f>
        <v>0</v>
      </c>
      <c r="X10" s="32">
        <f>+COUNTIFS('[1]BD Asistencia'!$E:$E,"DR",'[1]BD Asistencia'!$C:$C,'Planilla Mensual'!$D10,'[1]BD Asistencia'!$D:$D,"&gt;="&amp;'Planilla Mensual'!M10,'[1]BD Asistencia'!$D:$D,"&lt;="&amp;'Planilla Mensual'!N10)-T10</f>
        <v>3</v>
      </c>
      <c r="Y10" s="32">
        <f>+COUNTIFS('[1]BD Asistencia'!$E:$E,"h",'[1]BD Asistencia'!$C:$C,'Planilla Mensual'!$D10,'[1]BD Asistencia'!$D:$D,"&gt;="&amp;'Planilla Mensual'!M10,'[1]BD Asistencia'!$D:$D,"&lt;="&amp;'Planilla Mensual'!N10)</f>
        <v>0</v>
      </c>
      <c r="Z10" s="32">
        <f>+COUNTIFS('[1]BD Asistencia'!$E:$E,"h/A",'[1]BD Asistencia'!$C:$C,'Planilla Mensual'!$D10,'[1]BD Asistencia'!$D:$D,"&gt;="&amp;'Planilla Mensual'!M10,'[1]BD Asistencia'!$D:$D,"&lt;="&amp;'Planilla Mensual'!N10)</f>
        <v>1</v>
      </c>
      <c r="AA10" s="32" t="e">
        <f>+COUNTIFS('[1]BD Asistencia'!$H:$H,"NO REMUNERADO",'[1]BD Asistencia'!$C:$C,'Planilla Mensual'!$D10,'[1]BD Asistencia'!$D:$D,"&gt;="&amp;'Planilla Mensual'!M10,'[1]BD Asistencia'!$D:$D,"&lt;="&amp;'Planilla Mensual'!N10)-U10</f>
        <v>#VALUE!</v>
      </c>
      <c r="AB10" s="32">
        <f>+COUNTIFS('[1]BD Asistencia'!$E:$E,"F",'[1]BD Asistencia'!$C:$C,'Planilla Mensual'!$D10,'[1]BD Asistencia'!$D:$D,"&gt;="&amp;'Planilla Mensual'!M10,'[1]BD Asistencia'!$D:$D,"&lt;="&amp;'Planilla Mensual'!N10)</f>
        <v>0</v>
      </c>
      <c r="AC10" s="32" t="e">
        <f t="shared" si="18"/>
        <v>#VALUE!</v>
      </c>
      <c r="AD10" s="32">
        <v>6.7</v>
      </c>
      <c r="AE10" s="33">
        <f t="shared" si="25"/>
        <v>1120</v>
      </c>
      <c r="AF10" s="33">
        <f t="shared" si="19"/>
        <v>0</v>
      </c>
      <c r="AG10" s="33">
        <f>+(Q10/30*Z10)*2</f>
        <v>80</v>
      </c>
      <c r="AH10" s="33">
        <v>400</v>
      </c>
      <c r="AI10" s="33">
        <f t="shared" si="11"/>
        <v>100.5</v>
      </c>
      <c r="AJ10" s="33">
        <f t="shared" si="12"/>
        <v>1700.5</v>
      </c>
      <c r="AK10" s="33">
        <f t="shared" si="0"/>
        <v>96</v>
      </c>
      <c r="AL10" s="33">
        <f t="shared" si="1"/>
        <v>720</v>
      </c>
      <c r="AM10" s="33">
        <f t="shared" si="2"/>
        <v>170.05</v>
      </c>
      <c r="AN10" s="33">
        <f t="shared" si="3"/>
        <v>23.296849999999999</v>
      </c>
      <c r="AO10" s="33">
        <f t="shared" si="4"/>
        <v>0</v>
      </c>
      <c r="AP10" s="33">
        <v>0</v>
      </c>
      <c r="AQ10" s="33">
        <v>75</v>
      </c>
      <c r="AR10" s="33">
        <v>0</v>
      </c>
      <c r="AS10" s="33">
        <v>890.6</v>
      </c>
      <c r="AT10" s="33">
        <f t="shared" si="20"/>
        <v>1158.94685</v>
      </c>
      <c r="AU10" s="33">
        <f>AJ10-SUM(AM10:AS10)</f>
        <v>541.55314999999996</v>
      </c>
      <c r="AV10" s="33">
        <f>AK10+AL10</f>
        <v>816</v>
      </c>
      <c r="AW10" s="33">
        <f t="shared" si="14"/>
        <v>153.04499999999999</v>
      </c>
      <c r="AX10" s="33">
        <f t="shared" si="22"/>
        <v>1357.55315</v>
      </c>
      <c r="AY10" s="35"/>
      <c r="AZ10" s="34" t="s">
        <v>101</v>
      </c>
      <c r="BB10" s="33">
        <f t="shared" si="5"/>
        <v>0</v>
      </c>
      <c r="BC10" s="33">
        <f t="shared" si="15"/>
        <v>0</v>
      </c>
      <c r="BD10" s="33">
        <f t="shared" si="26"/>
        <v>80</v>
      </c>
      <c r="BE10" s="33">
        <f t="shared" si="7"/>
        <v>30</v>
      </c>
      <c r="BF10" s="33"/>
      <c r="BG10" s="33">
        <v>1000.6</v>
      </c>
      <c r="BH10" s="33">
        <f t="shared" si="8"/>
        <v>110</v>
      </c>
      <c r="BI10" s="33">
        <f t="shared" si="9"/>
        <v>1357.55315</v>
      </c>
      <c r="BJ10" s="33">
        <f t="shared" si="16"/>
        <v>2779.5450000000001</v>
      </c>
      <c r="BK10" s="13">
        <f t="shared" si="23"/>
        <v>111.18180000000001</v>
      </c>
      <c r="BL10" s="13">
        <f t="shared" si="24"/>
        <v>81.18180000000001</v>
      </c>
    </row>
    <row r="11" spans="1:64" x14ac:dyDescent="0.3">
      <c r="A11">
        <v>10</v>
      </c>
      <c r="B11" s="30" t="s">
        <v>66</v>
      </c>
      <c r="C11" s="30">
        <v>73322149</v>
      </c>
      <c r="D11" s="30" t="s">
        <v>102</v>
      </c>
      <c r="E11" s="31">
        <v>35920</v>
      </c>
      <c r="F11" s="30" t="s">
        <v>68</v>
      </c>
      <c r="G11" s="30" t="s">
        <v>88</v>
      </c>
      <c r="H11" s="30" t="s">
        <v>103</v>
      </c>
      <c r="I11" s="30" t="s">
        <v>104</v>
      </c>
      <c r="J11" s="30" t="s">
        <v>105</v>
      </c>
      <c r="K11" s="30" t="s">
        <v>106</v>
      </c>
      <c r="L11" s="31">
        <v>46146</v>
      </c>
      <c r="M11" s="31">
        <v>46143</v>
      </c>
      <c r="N11" s="31">
        <v>46172</v>
      </c>
      <c r="O11" s="31" t="str">
        <f t="shared" si="17"/>
        <v>Mayo - 20265</v>
      </c>
      <c r="P11" s="32" t="s">
        <v>73</v>
      </c>
      <c r="Q11" s="33">
        <v>1300</v>
      </c>
      <c r="R11" s="33">
        <v>100</v>
      </c>
      <c r="S11" s="32">
        <f>+COUNTIFS('[1]BD Asistencia'!$E:$E,"A",'[1]BD Asistencia'!$C:$C,'Planilla Mensual'!$D11,'[1]BD Asistencia'!$D:$D,"&lt;"&amp;'Planilla Mensual'!L11)</f>
        <v>1</v>
      </c>
      <c r="T11" s="32">
        <f>+COUNTIFS('[1]BD Asistencia'!$E:$E,"DR",'[1]BD Asistencia'!$C:$C,'Planilla Mensual'!$D11,'[1]BD Asistencia'!$D:$D,"&lt;"&amp;L11)</f>
        <v>0</v>
      </c>
      <c r="U11" s="32" t="e">
        <f>+COUNTIFS('[1]BD Asistencia'!$H:$H,"NO REMUNERADO",'[1]BD Asistencia'!$C:$C,'Planilla Mensual'!$D11,'[1]BD Asistencia'!$D:$D,"&lt;"&amp;L11)</f>
        <v>#VALUE!</v>
      </c>
      <c r="V11" s="32">
        <f>+COUNTIFS('[1]BD Asistencia'!$E:$E,"A",'[1]BD Asistencia'!$C:$C,'Planilla Mensual'!$D11,'[1]BD Asistencia'!$D:$D,"&gt;="&amp;'Planilla Mensual'!M11,'[1]BD Asistencia'!$D:$D,"&lt;="&amp;'Planilla Mensual'!N11)-S11</f>
        <v>24</v>
      </c>
      <c r="W11" s="32">
        <f>+COUNTIFS('[1]BD Asistencia'!$E:$E,"V",'[1]BD Asistencia'!$C:$C,'Planilla Mensual'!$D11,'[1]BD Asistencia'!$D:$D,"&gt;="&amp;'Planilla Mensual'!M11,'[1]BD Asistencia'!$D:$D,"&lt;="&amp;'Planilla Mensual'!N11)</f>
        <v>0</v>
      </c>
      <c r="X11" s="32">
        <f>+COUNTIFS('[1]BD Asistencia'!$E:$E,"DR",'[1]BD Asistencia'!$C:$C,'Planilla Mensual'!$D11,'[1]BD Asistencia'!$D:$D,"&gt;="&amp;'Planilla Mensual'!M11,'[1]BD Asistencia'!$D:$D,"&lt;="&amp;'Planilla Mensual'!N11)-T11</f>
        <v>3</v>
      </c>
      <c r="Y11" s="32">
        <f>+COUNTIFS('[1]BD Asistencia'!$E:$E,"h",'[1]BD Asistencia'!$C:$C,'Planilla Mensual'!$D11,'[1]BD Asistencia'!$D:$D,"&gt;="&amp;'Planilla Mensual'!M11,'[1]BD Asistencia'!$D:$D,"&lt;="&amp;'Planilla Mensual'!N11)</f>
        <v>0</v>
      </c>
      <c r="Z11" s="32">
        <f>+COUNTIFS('[1]BD Asistencia'!$E:$E,"h/A",'[1]BD Asistencia'!$C:$C,'Planilla Mensual'!$D11,'[1]BD Asistencia'!$D:$D,"&gt;="&amp;'Planilla Mensual'!M11,'[1]BD Asistencia'!$D:$D,"&lt;="&amp;'Planilla Mensual'!N11)</f>
        <v>0</v>
      </c>
      <c r="AA11" s="32" t="e">
        <f>+COUNTIFS('[1]BD Asistencia'!$H:$H,"NO REMUNERADO",'[1]BD Asistencia'!$C:$C,'Planilla Mensual'!$D11,'[1]BD Asistencia'!$D:$D,"&gt;="&amp;'Planilla Mensual'!M11,'[1]BD Asistencia'!$D:$D,"&lt;="&amp;'Planilla Mensual'!N11)-U11</f>
        <v>#VALUE!</v>
      </c>
      <c r="AB11" s="32">
        <f>+COUNTIFS('[1]BD Asistencia'!$E:$E,"F",'[1]BD Asistencia'!$C:$C,'Planilla Mensual'!$D11,'[1]BD Asistencia'!$D:$D,"&gt;="&amp;'Planilla Mensual'!M11,'[1]BD Asistencia'!$D:$D,"&lt;="&amp;'Planilla Mensual'!N11)</f>
        <v>0</v>
      </c>
      <c r="AC11" s="32" t="e">
        <f t="shared" si="18"/>
        <v>#VALUE!</v>
      </c>
      <c r="AD11" s="32">
        <v>7.3</v>
      </c>
      <c r="AE11" s="33">
        <f t="shared" si="25"/>
        <v>1170</v>
      </c>
      <c r="AF11" s="33">
        <f t="shared" si="19"/>
        <v>113</v>
      </c>
      <c r="AG11" s="33">
        <f t="shared" si="10"/>
        <v>0</v>
      </c>
      <c r="AH11" s="33">
        <v>400</v>
      </c>
      <c r="AI11" s="33">
        <f t="shared" si="11"/>
        <v>73</v>
      </c>
      <c r="AJ11" s="33">
        <f t="shared" si="12"/>
        <v>1756</v>
      </c>
      <c r="AK11" s="33">
        <f t="shared" si="0"/>
        <v>384</v>
      </c>
      <c r="AL11" s="33">
        <f t="shared" si="1"/>
        <v>720</v>
      </c>
      <c r="AM11" s="33">
        <f t="shared" si="2"/>
        <v>175.60000000000002</v>
      </c>
      <c r="AN11" s="33">
        <f t="shared" si="3"/>
        <v>24.057200000000002</v>
      </c>
      <c r="AO11" s="33">
        <f t="shared" si="4"/>
        <v>0</v>
      </c>
      <c r="AP11" s="33">
        <v>0</v>
      </c>
      <c r="AQ11" s="33"/>
      <c r="AR11" s="33">
        <v>140</v>
      </c>
      <c r="AS11" s="33">
        <v>1202.9584500000001</v>
      </c>
      <c r="AT11" s="33">
        <f t="shared" si="20"/>
        <v>1542.6156500000002</v>
      </c>
      <c r="AU11" s="33">
        <f t="shared" si="13"/>
        <v>213.38434999999981</v>
      </c>
      <c r="AV11" s="33">
        <f t="shared" si="21"/>
        <v>1104</v>
      </c>
      <c r="AW11" s="33">
        <f t="shared" si="14"/>
        <v>158.04</v>
      </c>
      <c r="AX11" s="33">
        <f t="shared" si="22"/>
        <v>1317.3843499999998</v>
      </c>
      <c r="AY11" s="35"/>
      <c r="AZ11" s="34" t="s">
        <v>107</v>
      </c>
      <c r="BB11" s="33">
        <f t="shared" si="5"/>
        <v>300</v>
      </c>
      <c r="BC11" s="33">
        <f t="shared" si="15"/>
        <v>270</v>
      </c>
      <c r="BD11" s="33">
        <f t="shared" si="26"/>
        <v>100</v>
      </c>
      <c r="BE11" s="33">
        <v>0</v>
      </c>
      <c r="BF11" s="33"/>
      <c r="BG11" s="33">
        <v>1422.9584500000001</v>
      </c>
      <c r="BH11" s="33">
        <f t="shared" si="8"/>
        <v>220</v>
      </c>
      <c r="BI11" s="33">
        <f t="shared" si="9"/>
        <v>1467.3843499999998</v>
      </c>
      <c r="BJ11" s="33">
        <f t="shared" si="16"/>
        <v>3388.04</v>
      </c>
      <c r="BK11" s="13">
        <f t="shared" si="23"/>
        <v>135.52160000000001</v>
      </c>
      <c r="BL11" s="13">
        <f t="shared" si="24"/>
        <v>105.52160000000001</v>
      </c>
    </row>
    <row r="12" spans="1:64" x14ac:dyDescent="0.3">
      <c r="A12">
        <v>10</v>
      </c>
      <c r="B12" s="30" t="s">
        <v>66</v>
      </c>
      <c r="C12" s="30">
        <v>76768818</v>
      </c>
      <c r="D12" s="30" t="s">
        <v>108</v>
      </c>
      <c r="E12" s="31">
        <v>37200</v>
      </c>
      <c r="F12" s="30" t="s">
        <v>109</v>
      </c>
      <c r="G12" s="30" t="s">
        <v>69</v>
      </c>
      <c r="H12" s="30" t="s">
        <v>110</v>
      </c>
      <c r="I12" s="30" t="s">
        <v>71</v>
      </c>
      <c r="J12" s="30" t="s">
        <v>111</v>
      </c>
      <c r="K12" s="30"/>
      <c r="L12" s="31">
        <v>46146</v>
      </c>
      <c r="M12" s="31">
        <v>46143</v>
      </c>
      <c r="N12" s="31">
        <v>46172</v>
      </c>
      <c r="O12" s="31" t="str">
        <f t="shared" si="17"/>
        <v>Mayo - 20265</v>
      </c>
      <c r="P12" s="32" t="s">
        <v>81</v>
      </c>
      <c r="Q12" s="33">
        <v>1300</v>
      </c>
      <c r="R12" s="33">
        <v>80</v>
      </c>
      <c r="S12" s="32">
        <f>+COUNTIFS('[1]BD Asistencia'!$E:$E,"A",'[1]BD Asistencia'!$C:$C,'Planilla Mensual'!$D12,'[1]BD Asistencia'!$D:$D,"&lt;"&amp;'Planilla Mensual'!L12)</f>
        <v>1</v>
      </c>
      <c r="T12" s="32">
        <f>+COUNTIFS('[1]BD Asistencia'!$E:$E,"DR",'[1]BD Asistencia'!$C:$C,'Planilla Mensual'!$D12,'[1]BD Asistencia'!$D:$D,"&lt;"&amp;L12)</f>
        <v>0</v>
      </c>
      <c r="U12" s="32" t="e">
        <f>+COUNTIFS('[1]BD Asistencia'!$H:$H,"NO REMUNERADO",'[1]BD Asistencia'!$C:$C,'Planilla Mensual'!$D12,'[1]BD Asistencia'!$D:$D,"&lt;"&amp;L12)</f>
        <v>#VALUE!</v>
      </c>
      <c r="V12" s="32">
        <f>+COUNTIFS('[1]BD Asistencia'!$E:$E,"A",'[1]BD Asistencia'!$C:$C,'Planilla Mensual'!$D12,'[1]BD Asistencia'!$D:$D,"&gt;="&amp;'Planilla Mensual'!M12,'[1]BD Asistencia'!$D:$D,"&lt;="&amp;'Planilla Mensual'!N12)-S12</f>
        <v>13</v>
      </c>
      <c r="W12" s="32">
        <f>+COUNTIFS('[1]BD Asistencia'!$E:$E,"V",'[1]BD Asistencia'!$C:$C,'Planilla Mensual'!$D12,'[1]BD Asistencia'!$D:$D,"&gt;="&amp;'Planilla Mensual'!M12,'[1]BD Asistencia'!$D:$D,"&lt;="&amp;'Planilla Mensual'!N12)</f>
        <v>0</v>
      </c>
      <c r="X12" s="32">
        <f>+COUNTIFS('[1]BD Asistencia'!$E:$E,"DR",'[1]BD Asistencia'!$C:$C,'Planilla Mensual'!$D12,'[1]BD Asistencia'!$D:$D,"&gt;="&amp;'Planilla Mensual'!M12,'[1]BD Asistencia'!$D:$D,"&lt;="&amp;'Planilla Mensual'!N12)-T12</f>
        <v>2</v>
      </c>
      <c r="Y12" s="32">
        <f>+COUNTIFS('[1]BD Asistencia'!$E:$E,"h",'[1]BD Asistencia'!$C:$C,'Planilla Mensual'!$D12,'[1]BD Asistencia'!$D:$D,"&gt;="&amp;'Planilla Mensual'!M12,'[1]BD Asistencia'!$D:$D,"&lt;="&amp;'Planilla Mensual'!N12)</f>
        <v>0</v>
      </c>
      <c r="Z12" s="32">
        <f>+COUNTIFS('[1]BD Asistencia'!$E:$E,"h/A",'[1]BD Asistencia'!$C:$C,'Planilla Mensual'!$D12,'[1]BD Asistencia'!$D:$D,"&gt;="&amp;'Planilla Mensual'!M12,'[1]BD Asistencia'!$D:$D,"&lt;="&amp;'Planilla Mensual'!N12)</f>
        <v>0</v>
      </c>
      <c r="AA12" s="32" t="e">
        <f>+COUNTIFS('[1]BD Asistencia'!$H:$H,"NO REMUNERADO",'[1]BD Asistencia'!$C:$C,'Planilla Mensual'!$D12,'[1]BD Asistencia'!$D:$D,"&gt;="&amp;'Planilla Mensual'!M12,'[1]BD Asistencia'!$D:$D,"&lt;="&amp;'Planilla Mensual'!N12)-U12</f>
        <v>#VALUE!</v>
      </c>
      <c r="AB12" s="32">
        <f>+COUNTIFS('[1]BD Asistencia'!$E:$E,"F",'[1]BD Asistencia'!$C:$C,'Planilla Mensual'!$D12,'[1]BD Asistencia'!$D:$D,"&gt;="&amp;'Planilla Mensual'!M12,'[1]BD Asistencia'!$D:$D,"&lt;="&amp;'Planilla Mensual'!N12)</f>
        <v>0</v>
      </c>
      <c r="AC12" s="32" t="e">
        <f t="shared" si="18"/>
        <v>#VALUE!</v>
      </c>
      <c r="AD12" s="32">
        <v>3.5</v>
      </c>
      <c r="AE12" s="33">
        <f>+Q12/30*SUM(V12:Z12)</f>
        <v>650</v>
      </c>
      <c r="AF12" s="33">
        <f t="shared" si="19"/>
        <v>0</v>
      </c>
      <c r="AG12" s="33">
        <f t="shared" si="10"/>
        <v>0</v>
      </c>
      <c r="AH12" s="33">
        <v>200</v>
      </c>
      <c r="AI12" s="33">
        <f t="shared" si="11"/>
        <v>35</v>
      </c>
      <c r="AJ12" s="33">
        <f t="shared" si="12"/>
        <v>885</v>
      </c>
      <c r="AK12" s="33">
        <f t="shared" si="0"/>
        <v>104</v>
      </c>
      <c r="AL12" s="33">
        <f t="shared" si="1"/>
        <v>390</v>
      </c>
      <c r="AM12" s="33">
        <f t="shared" si="2"/>
        <v>88.5</v>
      </c>
      <c r="AN12" s="33">
        <f t="shared" si="3"/>
        <v>12.124500000000001</v>
      </c>
      <c r="AO12" s="33">
        <f t="shared" si="4"/>
        <v>0</v>
      </c>
      <c r="AP12" s="33">
        <v>0</v>
      </c>
      <c r="AQ12" s="33"/>
      <c r="AR12" s="33">
        <v>320</v>
      </c>
      <c r="AS12" s="33">
        <v>782.72500000000002</v>
      </c>
      <c r="AT12" s="33">
        <f t="shared" si="20"/>
        <v>1203.3495</v>
      </c>
      <c r="AU12" s="33">
        <f>AJ12-SUM(AM12:AS12)</f>
        <v>-318.34950000000003</v>
      </c>
      <c r="AV12" s="33">
        <f t="shared" si="21"/>
        <v>494</v>
      </c>
      <c r="AW12" s="33">
        <f>IF(AJ12*0.09&lt;1130*0.09,1130*0.09,AJ12*0.09)</f>
        <v>101.7</v>
      </c>
      <c r="AX12" s="33">
        <f>AU12+AV12</f>
        <v>175.65049999999997</v>
      </c>
      <c r="AY12" s="35">
        <v>46160</v>
      </c>
      <c r="AZ12" s="36" t="s">
        <v>112</v>
      </c>
      <c r="BB12" s="33">
        <f t="shared" si="5"/>
        <v>0</v>
      </c>
      <c r="BC12" s="33">
        <f t="shared" si="15"/>
        <v>0</v>
      </c>
      <c r="BD12" s="33">
        <f t="shared" si="26"/>
        <v>80</v>
      </c>
      <c r="BE12" s="33">
        <v>0</v>
      </c>
      <c r="BF12" s="33"/>
      <c r="BG12" s="33">
        <v>862.72500000000002</v>
      </c>
      <c r="BH12" s="33">
        <f t="shared" si="8"/>
        <v>80</v>
      </c>
      <c r="BI12" s="33">
        <f t="shared" si="9"/>
        <v>175.65049999999997</v>
      </c>
      <c r="BJ12" s="33">
        <f t="shared" si="16"/>
        <v>1560.7</v>
      </c>
      <c r="BK12" s="13">
        <f t="shared" si="23"/>
        <v>111.47857142857143</v>
      </c>
      <c r="BL12" s="13">
        <f t="shared" si="24"/>
        <v>81.478571428571428</v>
      </c>
    </row>
    <row r="13" spans="1:64" x14ac:dyDescent="0.3">
      <c r="A13">
        <v>10</v>
      </c>
      <c r="B13" s="30" t="s">
        <v>66</v>
      </c>
      <c r="C13" s="30">
        <v>41758826</v>
      </c>
      <c r="D13" s="30" t="s">
        <v>113</v>
      </c>
      <c r="E13" s="31">
        <v>30279</v>
      </c>
      <c r="F13" s="30" t="s">
        <v>109</v>
      </c>
      <c r="G13" s="30" t="s">
        <v>88</v>
      </c>
      <c r="H13" s="30" t="s">
        <v>114</v>
      </c>
      <c r="I13" s="30" t="s">
        <v>71</v>
      </c>
      <c r="J13" s="30" t="s">
        <v>115</v>
      </c>
      <c r="K13" s="30"/>
      <c r="L13" s="31">
        <v>46146</v>
      </c>
      <c r="M13" s="31">
        <v>46143</v>
      </c>
      <c r="N13" s="31">
        <v>46172</v>
      </c>
      <c r="O13" s="31" t="str">
        <f t="shared" si="17"/>
        <v>Mayo - 20265</v>
      </c>
      <c r="P13" s="32" t="s">
        <v>73</v>
      </c>
      <c r="Q13" s="33">
        <v>1300</v>
      </c>
      <c r="R13" s="33">
        <v>80</v>
      </c>
      <c r="S13" s="32">
        <f>+COUNTIFS('[1]BD Asistencia'!$E:$E,"A",'[1]BD Asistencia'!$C:$C,'Planilla Mensual'!$D13,'[1]BD Asistencia'!$D:$D,"&lt;"&amp;'Planilla Mensual'!L13)</f>
        <v>1</v>
      </c>
      <c r="T13" s="32">
        <f>+COUNTIFS('[1]BD Asistencia'!$E:$E,"DR",'[1]BD Asistencia'!$C:$C,'Planilla Mensual'!$D13,'[1]BD Asistencia'!$D:$D,"&lt;"&amp;L13)</f>
        <v>0</v>
      </c>
      <c r="U13" s="32" t="e">
        <f>+COUNTIFS('[1]BD Asistencia'!$H:$H,"NO REMUNERADO",'[1]BD Asistencia'!$C:$C,'Planilla Mensual'!$D13,'[1]BD Asistencia'!$D:$D,"&lt;"&amp;L13)</f>
        <v>#VALUE!</v>
      </c>
      <c r="V13" s="32">
        <f>+COUNTIFS('[1]BD Asistencia'!$E:$E,"A",'[1]BD Asistencia'!$C:$C,'Planilla Mensual'!$D13,'[1]BD Asistencia'!$D:$D,"&gt;="&amp;'Planilla Mensual'!M13,'[1]BD Asistencia'!$D:$D,"&lt;="&amp;'Planilla Mensual'!N13)-S13</f>
        <v>23</v>
      </c>
      <c r="W13" s="32">
        <f>+COUNTIFS('[1]BD Asistencia'!$E:$E,"V",'[1]BD Asistencia'!$C:$C,'Planilla Mensual'!$D13,'[1]BD Asistencia'!$D:$D,"&gt;="&amp;'Planilla Mensual'!M13,'[1]BD Asistencia'!$D:$D,"&lt;="&amp;'Planilla Mensual'!N13)</f>
        <v>0</v>
      </c>
      <c r="X13" s="32">
        <f>+COUNTIFS('[1]BD Asistencia'!$E:$E,"DR",'[1]BD Asistencia'!$C:$C,'Planilla Mensual'!$D13,'[1]BD Asistencia'!$D:$D,"&gt;="&amp;'Planilla Mensual'!M13,'[1]BD Asistencia'!$D:$D,"&lt;="&amp;'Planilla Mensual'!N13)-T13</f>
        <v>3</v>
      </c>
      <c r="Y13" s="32">
        <f>+COUNTIFS('[1]BD Asistencia'!$E:$E,"h",'[1]BD Asistencia'!$C:$C,'Planilla Mensual'!$D13,'[1]BD Asistencia'!$D:$D,"&gt;="&amp;'Planilla Mensual'!M13,'[1]BD Asistencia'!$D:$D,"&lt;="&amp;'Planilla Mensual'!N13)</f>
        <v>0</v>
      </c>
      <c r="Z13" s="32">
        <f>+COUNTIFS('[1]BD Asistencia'!$E:$E,"h/A",'[1]BD Asistencia'!$C:$C,'Planilla Mensual'!$D13,'[1]BD Asistencia'!$D:$D,"&gt;="&amp;'Planilla Mensual'!M13,'[1]BD Asistencia'!$D:$D,"&lt;="&amp;'Planilla Mensual'!N13)</f>
        <v>0</v>
      </c>
      <c r="AA13" s="32" t="e">
        <f>+COUNTIFS('[1]BD Asistencia'!$H:$H,"NO REMUNERADO",'[1]BD Asistencia'!$C:$C,'Planilla Mensual'!$D13,'[1]BD Asistencia'!$D:$D,"&gt;="&amp;'Planilla Mensual'!M13,'[1]BD Asistencia'!$D:$D,"&lt;="&amp;'Planilla Mensual'!N13)-U13</f>
        <v>#VALUE!</v>
      </c>
      <c r="AB13" s="32">
        <f>+COUNTIFS('[1]BD Asistencia'!$E:$E,"F",'[1]BD Asistencia'!$C:$C,'Planilla Mensual'!$D13,'[1]BD Asistencia'!$D:$D,"&gt;="&amp;'Planilla Mensual'!M13,'[1]BD Asistencia'!$D:$D,"&lt;="&amp;'Planilla Mensual'!N13)</f>
        <v>1</v>
      </c>
      <c r="AC13" s="32" t="e">
        <f t="shared" si="18"/>
        <v>#VALUE!</v>
      </c>
      <c r="AD13" s="32">
        <v>20.5</v>
      </c>
      <c r="AE13" s="33">
        <f t="shared" si="25"/>
        <v>1126.6666666666667</v>
      </c>
      <c r="AF13" s="33">
        <f t="shared" si="19"/>
        <v>113</v>
      </c>
      <c r="AG13" s="33">
        <f t="shared" si="10"/>
        <v>0</v>
      </c>
      <c r="AH13" s="33">
        <v>400</v>
      </c>
      <c r="AI13" s="33">
        <f t="shared" si="11"/>
        <v>205</v>
      </c>
      <c r="AJ13" s="33">
        <f t="shared" si="12"/>
        <v>1844.6666666666667</v>
      </c>
      <c r="AK13" s="33">
        <f t="shared" si="0"/>
        <v>184</v>
      </c>
      <c r="AL13" s="33">
        <f t="shared" si="1"/>
        <v>690</v>
      </c>
      <c r="AM13" s="33">
        <f t="shared" si="2"/>
        <v>184.4666666666667</v>
      </c>
      <c r="AN13" s="33">
        <f t="shared" si="3"/>
        <v>25.271933333333337</v>
      </c>
      <c r="AO13" s="33">
        <f t="shared" si="4"/>
        <v>0</v>
      </c>
      <c r="AP13" s="33">
        <v>0</v>
      </c>
      <c r="AQ13" s="33"/>
      <c r="AR13" s="33">
        <v>620</v>
      </c>
      <c r="AS13" s="33">
        <v>767.53161666666676</v>
      </c>
      <c r="AT13" s="33">
        <f t="shared" si="20"/>
        <v>1597.2702166666668</v>
      </c>
      <c r="AU13" s="33">
        <f t="shared" si="13"/>
        <v>247.39644999999996</v>
      </c>
      <c r="AV13" s="33">
        <f t="shared" si="21"/>
        <v>874</v>
      </c>
      <c r="AW13" s="33">
        <f t="shared" si="14"/>
        <v>166.02</v>
      </c>
      <c r="AX13" s="33">
        <f>AU13+AV13</f>
        <v>1121.39645</v>
      </c>
      <c r="AY13" s="35"/>
      <c r="AZ13" s="34" t="s">
        <v>116</v>
      </c>
      <c r="BB13" s="33">
        <f t="shared" si="5"/>
        <v>0</v>
      </c>
      <c r="BC13" s="33">
        <f t="shared" si="15"/>
        <v>0</v>
      </c>
      <c r="BD13" s="33">
        <f t="shared" si="26"/>
        <v>80</v>
      </c>
      <c r="BE13" s="33">
        <f t="shared" ref="BE13:BE16" si="27">+S13*30</f>
        <v>30</v>
      </c>
      <c r="BF13" s="33"/>
      <c r="BG13" s="33">
        <v>847.53161666666676</v>
      </c>
      <c r="BH13" s="33">
        <f t="shared" si="8"/>
        <v>80</v>
      </c>
      <c r="BI13" s="33">
        <f t="shared" si="9"/>
        <v>1151.39645</v>
      </c>
      <c r="BJ13" s="33">
        <f t="shared" si="16"/>
        <v>2994.6866666666665</v>
      </c>
      <c r="BK13" s="13">
        <f t="shared" si="23"/>
        <v>124.7786111111111</v>
      </c>
      <c r="BL13" s="13">
        <f t="shared" si="24"/>
        <v>94.778611111111104</v>
      </c>
    </row>
    <row r="14" spans="1:64" x14ac:dyDescent="0.3">
      <c r="A14">
        <v>10</v>
      </c>
      <c r="B14" s="30" t="s">
        <v>66</v>
      </c>
      <c r="C14" s="30">
        <v>71983929</v>
      </c>
      <c r="D14" s="30" t="s">
        <v>117</v>
      </c>
      <c r="E14" s="31">
        <v>33973</v>
      </c>
      <c r="F14" s="30" t="s">
        <v>68</v>
      </c>
      <c r="G14" s="30" t="s">
        <v>45</v>
      </c>
      <c r="H14" s="30"/>
      <c r="I14" s="30" t="s">
        <v>71</v>
      </c>
      <c r="J14" s="30" t="s">
        <v>118</v>
      </c>
      <c r="K14" s="30"/>
      <c r="L14" s="31">
        <v>46146</v>
      </c>
      <c r="M14" s="31">
        <v>46143</v>
      </c>
      <c r="N14" s="31">
        <v>46172</v>
      </c>
      <c r="O14" s="31" t="str">
        <f t="shared" si="17"/>
        <v>Mayo - 20265</v>
      </c>
      <c r="P14" s="32" t="s">
        <v>73</v>
      </c>
      <c r="Q14" s="33">
        <v>1300</v>
      </c>
      <c r="R14" s="33"/>
      <c r="S14" s="32">
        <f>+COUNTIFS('[1]BD Asistencia'!$E:$E,"A",'[1]BD Asistencia'!$C:$C,'Planilla Mensual'!$D14,'[1]BD Asistencia'!$D:$D,"&lt;"&amp;'Planilla Mensual'!L14)</f>
        <v>0</v>
      </c>
      <c r="T14" s="32">
        <f>+COUNTIFS('[1]BD Asistencia'!$E:$E,"DR",'[1]BD Asistencia'!$C:$C,'Planilla Mensual'!$D14,'[1]BD Asistencia'!$D:$D,"&lt;"&amp;L14)</f>
        <v>0</v>
      </c>
      <c r="U14" s="32" t="e">
        <f>+COUNTIFS('[1]BD Asistencia'!$H:$H,"NO REMUNERADO",'[1]BD Asistencia'!$C:$C,'Planilla Mensual'!$D14,'[1]BD Asistencia'!$D:$D,"&lt;"&amp;L14)</f>
        <v>#VALUE!</v>
      </c>
      <c r="V14" s="32">
        <f>+COUNTIFS('[1]BD Asistencia'!$E:$E,"A",'[1]BD Asistencia'!$C:$C,'Planilla Mensual'!$D14,'[1]BD Asistencia'!$D:$D,"&gt;="&amp;'Planilla Mensual'!M14,'[1]BD Asistencia'!$D:$D,"&lt;="&amp;'Planilla Mensual'!N14)-S14</f>
        <v>24</v>
      </c>
      <c r="W14" s="32">
        <f>+COUNTIFS('[1]BD Asistencia'!$E:$E,"V",'[1]BD Asistencia'!$C:$C,'Planilla Mensual'!$D14,'[1]BD Asistencia'!$D:$D,"&gt;="&amp;'Planilla Mensual'!M14,'[1]BD Asistencia'!$D:$D,"&lt;="&amp;'Planilla Mensual'!N14)</f>
        <v>0</v>
      </c>
      <c r="X14" s="32">
        <f>+COUNTIFS('[1]BD Asistencia'!$E:$E,"DR",'[1]BD Asistencia'!$C:$C,'Planilla Mensual'!$D14,'[1]BD Asistencia'!$D:$D,"&gt;="&amp;'Planilla Mensual'!M14,'[1]BD Asistencia'!$D:$D,"&lt;="&amp;'Planilla Mensual'!N14)-T14</f>
        <v>3</v>
      </c>
      <c r="Y14" s="32">
        <f>+COUNTIFS('[1]BD Asistencia'!$E:$E,"h",'[1]BD Asistencia'!$C:$C,'Planilla Mensual'!$D14,'[1]BD Asistencia'!$D:$D,"&gt;="&amp;'Planilla Mensual'!M14,'[1]BD Asistencia'!$D:$D,"&lt;="&amp;'Planilla Mensual'!N14)</f>
        <v>0</v>
      </c>
      <c r="Z14" s="32">
        <f>+COUNTIFS('[1]BD Asistencia'!$E:$E,"h/A",'[1]BD Asistencia'!$C:$C,'Planilla Mensual'!$D14,'[1]BD Asistencia'!$D:$D,"&gt;="&amp;'Planilla Mensual'!M14,'[1]BD Asistencia'!$D:$D,"&lt;="&amp;'Planilla Mensual'!N14)</f>
        <v>0</v>
      </c>
      <c r="AA14" s="32" t="e">
        <f>+COUNTIFS('[1]BD Asistencia'!$H:$H,"NO REMUNERADO",'[1]BD Asistencia'!$C:$C,'Planilla Mensual'!$D14,'[1]BD Asistencia'!$D:$D,"&gt;="&amp;'Planilla Mensual'!M14,'[1]BD Asistencia'!$D:$D,"&lt;="&amp;'Planilla Mensual'!N14)-U14</f>
        <v>#VALUE!</v>
      </c>
      <c r="AB14" s="32">
        <f>+COUNTIFS('[1]BD Asistencia'!$E:$E,"F",'[1]BD Asistencia'!$C:$C,'Planilla Mensual'!$D14,'[1]BD Asistencia'!$D:$D,"&gt;="&amp;'Planilla Mensual'!M14,'[1]BD Asistencia'!$D:$D,"&lt;="&amp;'Planilla Mensual'!N14)</f>
        <v>0</v>
      </c>
      <c r="AC14" s="32" t="e">
        <f t="shared" si="18"/>
        <v>#VALUE!</v>
      </c>
      <c r="AD14" s="32">
        <v>10.65</v>
      </c>
      <c r="AE14" s="33">
        <f t="shared" si="25"/>
        <v>1170</v>
      </c>
      <c r="AF14" s="33">
        <f t="shared" si="19"/>
        <v>113</v>
      </c>
      <c r="AG14" s="33">
        <f t="shared" si="10"/>
        <v>0</v>
      </c>
      <c r="AH14" s="33">
        <v>400</v>
      </c>
      <c r="AI14" s="33">
        <f t="shared" si="11"/>
        <v>106.5</v>
      </c>
      <c r="AJ14" s="33">
        <f t="shared" si="12"/>
        <v>1789.5</v>
      </c>
      <c r="AK14" s="33">
        <f t="shared" si="0"/>
        <v>384</v>
      </c>
      <c r="AL14" s="33">
        <f t="shared" si="1"/>
        <v>720</v>
      </c>
      <c r="AM14" s="33">
        <f t="shared" si="2"/>
        <v>0</v>
      </c>
      <c r="AN14" s="33">
        <f t="shared" si="3"/>
        <v>0</v>
      </c>
      <c r="AO14" s="33">
        <f t="shared" si="4"/>
        <v>232.63500000000002</v>
      </c>
      <c r="AP14" s="33">
        <v>0</v>
      </c>
      <c r="AQ14" s="33"/>
      <c r="AR14" s="33">
        <f>180+180+200+200</f>
        <v>760</v>
      </c>
      <c r="AS14" s="33">
        <v>916.79</v>
      </c>
      <c r="AT14" s="33">
        <f t="shared" si="20"/>
        <v>1909.425</v>
      </c>
      <c r="AU14" s="33">
        <f t="shared" si="13"/>
        <v>-119.92499999999995</v>
      </c>
      <c r="AV14" s="33">
        <f t="shared" si="21"/>
        <v>1104</v>
      </c>
      <c r="AW14" s="33">
        <f t="shared" si="14"/>
        <v>161.05500000000001</v>
      </c>
      <c r="AX14" s="33">
        <f t="shared" si="22"/>
        <v>984.07500000000005</v>
      </c>
      <c r="AY14" s="35"/>
      <c r="AZ14" s="34" t="s">
        <v>119</v>
      </c>
      <c r="BB14" s="33">
        <f t="shared" si="5"/>
        <v>300</v>
      </c>
      <c r="BC14" s="33">
        <f t="shared" si="15"/>
        <v>270</v>
      </c>
      <c r="BD14" s="33">
        <f t="shared" si="26"/>
        <v>0</v>
      </c>
      <c r="BE14" s="33">
        <f t="shared" si="27"/>
        <v>0</v>
      </c>
      <c r="BF14" s="33"/>
      <c r="BG14" s="33">
        <v>1036.79</v>
      </c>
      <c r="BH14" s="33">
        <f t="shared" si="8"/>
        <v>120</v>
      </c>
      <c r="BI14" s="33">
        <f t="shared" si="9"/>
        <v>1134.075</v>
      </c>
      <c r="BJ14" s="33">
        <f t="shared" si="16"/>
        <v>3324.5550000000003</v>
      </c>
      <c r="BK14" s="13">
        <f t="shared" si="23"/>
        <v>138.52312500000002</v>
      </c>
      <c r="BL14" s="13">
        <f>+BK14-30</f>
        <v>108.52312500000002</v>
      </c>
    </row>
    <row r="15" spans="1:64" x14ac:dyDescent="0.3">
      <c r="A15">
        <v>10</v>
      </c>
      <c r="B15" s="30" t="s">
        <v>66</v>
      </c>
      <c r="C15" s="30">
        <v>45952951</v>
      </c>
      <c r="D15" s="30" t="s">
        <v>120</v>
      </c>
      <c r="E15" s="31">
        <v>32777</v>
      </c>
      <c r="F15" s="30" t="s">
        <v>68</v>
      </c>
      <c r="G15" s="30" t="s">
        <v>88</v>
      </c>
      <c r="H15" s="30" t="s">
        <v>121</v>
      </c>
      <c r="I15" s="30" t="s">
        <v>71</v>
      </c>
      <c r="J15" s="30" t="s">
        <v>122</v>
      </c>
      <c r="K15" s="30"/>
      <c r="L15" s="31">
        <v>46146</v>
      </c>
      <c r="M15" s="31">
        <v>46143</v>
      </c>
      <c r="N15" s="31">
        <v>46172</v>
      </c>
      <c r="O15" s="31" t="str">
        <f t="shared" si="17"/>
        <v>Mayo - 20265</v>
      </c>
      <c r="P15" s="32" t="s">
        <v>73</v>
      </c>
      <c r="Q15" s="33">
        <v>1300</v>
      </c>
      <c r="R15" s="33"/>
      <c r="S15" s="32">
        <f>+COUNTIFS('[1]BD Asistencia'!$E:$E,"A",'[1]BD Asistencia'!$C:$C,'Planilla Mensual'!$D15,'[1]BD Asistencia'!$D:$D,"&lt;"&amp;'Planilla Mensual'!L15)</f>
        <v>0</v>
      </c>
      <c r="T15" s="32">
        <f>+COUNTIFS('[1]BD Asistencia'!$E:$E,"DR",'[1]BD Asistencia'!$C:$C,'Planilla Mensual'!$D15,'[1]BD Asistencia'!$D:$D,"&lt;"&amp;L15)</f>
        <v>0</v>
      </c>
      <c r="U15" s="32" t="e">
        <f>+COUNTIFS('[1]BD Asistencia'!$H:$H,"NO REMUNERADO",'[1]BD Asistencia'!$C:$C,'Planilla Mensual'!$D15,'[1]BD Asistencia'!$D:$D,"&lt;"&amp;L15)</f>
        <v>#VALUE!</v>
      </c>
      <c r="V15" s="32">
        <f>+COUNTIFS('[1]BD Asistencia'!$E:$E,"A",'[1]BD Asistencia'!$C:$C,'Planilla Mensual'!$D15,'[1]BD Asistencia'!$D:$D,"&gt;="&amp;'Planilla Mensual'!M15,'[1]BD Asistencia'!$D:$D,"&lt;="&amp;'Planilla Mensual'!N15)-S15</f>
        <v>24</v>
      </c>
      <c r="W15" s="32">
        <f>+COUNTIFS('[1]BD Asistencia'!$E:$E,"V",'[1]BD Asistencia'!$C:$C,'Planilla Mensual'!$D15,'[1]BD Asistencia'!$D:$D,"&gt;="&amp;'Planilla Mensual'!M15,'[1]BD Asistencia'!$D:$D,"&lt;="&amp;'Planilla Mensual'!N15)</f>
        <v>0</v>
      </c>
      <c r="X15" s="32">
        <f>+COUNTIFS('[1]BD Asistencia'!$E:$E,"DR",'[1]BD Asistencia'!$C:$C,'Planilla Mensual'!$D15,'[1]BD Asistencia'!$D:$D,"&gt;="&amp;'Planilla Mensual'!M15,'[1]BD Asistencia'!$D:$D,"&lt;="&amp;'Planilla Mensual'!N15)-T15</f>
        <v>3</v>
      </c>
      <c r="Y15" s="32">
        <f>+COUNTIFS('[1]BD Asistencia'!$E:$E,"h",'[1]BD Asistencia'!$C:$C,'Planilla Mensual'!$D15,'[1]BD Asistencia'!$D:$D,"&gt;="&amp;'Planilla Mensual'!M15,'[1]BD Asistencia'!$D:$D,"&lt;="&amp;'Planilla Mensual'!N15)</f>
        <v>0</v>
      </c>
      <c r="Z15" s="32">
        <f>+COUNTIFS('[1]BD Asistencia'!$E:$E,"h/A",'[1]BD Asistencia'!$C:$C,'Planilla Mensual'!$D15,'[1]BD Asistencia'!$D:$D,"&gt;="&amp;'Planilla Mensual'!M15,'[1]BD Asistencia'!$D:$D,"&lt;="&amp;'Planilla Mensual'!N15)</f>
        <v>0</v>
      </c>
      <c r="AA15" s="32" t="e">
        <f>+COUNTIFS('[1]BD Asistencia'!$H:$H,"NO REMUNERADO",'[1]BD Asistencia'!$C:$C,'Planilla Mensual'!$D15,'[1]BD Asistencia'!$D:$D,"&gt;="&amp;'Planilla Mensual'!M15,'[1]BD Asistencia'!$D:$D,"&lt;="&amp;'Planilla Mensual'!N15)-U15</f>
        <v>#VALUE!</v>
      </c>
      <c r="AB15" s="32">
        <f>+COUNTIFS('[1]BD Asistencia'!$E:$E,"F",'[1]BD Asistencia'!$C:$C,'Planilla Mensual'!$D15,'[1]BD Asistencia'!$D:$D,"&gt;="&amp;'Planilla Mensual'!M15,'[1]BD Asistencia'!$D:$D,"&lt;="&amp;'Planilla Mensual'!N15)</f>
        <v>0</v>
      </c>
      <c r="AC15" s="32" t="e">
        <f t="shared" si="18"/>
        <v>#VALUE!</v>
      </c>
      <c r="AD15" s="32">
        <v>11.65</v>
      </c>
      <c r="AE15" s="33">
        <f t="shared" si="25"/>
        <v>1170</v>
      </c>
      <c r="AF15" s="33">
        <f t="shared" si="19"/>
        <v>113</v>
      </c>
      <c r="AG15" s="33">
        <f t="shared" si="10"/>
        <v>0</v>
      </c>
      <c r="AH15" s="33">
        <f>240+400</f>
        <v>640</v>
      </c>
      <c r="AI15" s="33">
        <f t="shared" si="11"/>
        <v>116.5</v>
      </c>
      <c r="AJ15" s="33">
        <f t="shared" si="12"/>
        <v>2039.5</v>
      </c>
      <c r="AK15" s="33">
        <f t="shared" si="0"/>
        <v>384</v>
      </c>
      <c r="AL15" s="33">
        <f t="shared" si="1"/>
        <v>720</v>
      </c>
      <c r="AM15" s="33">
        <f t="shared" si="2"/>
        <v>203.95000000000002</v>
      </c>
      <c r="AN15" s="33">
        <f t="shared" si="3"/>
        <v>27.94115</v>
      </c>
      <c r="AO15" s="33">
        <f t="shared" si="4"/>
        <v>0</v>
      </c>
      <c r="AP15" s="33">
        <v>0</v>
      </c>
      <c r="AQ15" s="33"/>
      <c r="AR15" s="33">
        <f>180+40</f>
        <v>220</v>
      </c>
      <c r="AS15" s="33">
        <v>1036.7543499999999</v>
      </c>
      <c r="AT15" s="33">
        <f t="shared" si="20"/>
        <v>1488.6455000000001</v>
      </c>
      <c r="AU15" s="33">
        <f t="shared" si="13"/>
        <v>550.85449999999992</v>
      </c>
      <c r="AV15" s="33">
        <f t="shared" si="21"/>
        <v>1104</v>
      </c>
      <c r="AW15" s="33">
        <f t="shared" si="14"/>
        <v>183.55500000000001</v>
      </c>
      <c r="AX15" s="33">
        <f t="shared" si="22"/>
        <v>1654.8544999999999</v>
      </c>
      <c r="AY15" s="35"/>
      <c r="AZ15" s="34" t="s">
        <v>123</v>
      </c>
      <c r="BB15" s="33">
        <v>300</v>
      </c>
      <c r="BC15" s="33">
        <f t="shared" si="15"/>
        <v>270</v>
      </c>
      <c r="BD15" s="33">
        <f t="shared" si="26"/>
        <v>0</v>
      </c>
      <c r="BE15" s="33">
        <f t="shared" si="27"/>
        <v>0</v>
      </c>
      <c r="BF15" s="33"/>
      <c r="BG15" s="33">
        <v>1156.7543499999999</v>
      </c>
      <c r="BH15" s="33">
        <f t="shared" si="8"/>
        <v>120</v>
      </c>
      <c r="BI15" s="33">
        <f t="shared" si="9"/>
        <v>1804.8544999999999</v>
      </c>
      <c r="BJ15" s="33">
        <f t="shared" si="16"/>
        <v>3597.0549999999998</v>
      </c>
      <c r="BK15" s="13">
        <f t="shared" si="23"/>
        <v>149.87729166666665</v>
      </c>
      <c r="BL15" s="13">
        <f t="shared" si="24"/>
        <v>119.87729166666665</v>
      </c>
    </row>
    <row r="16" spans="1:64" x14ac:dyDescent="0.3">
      <c r="A16">
        <v>10</v>
      </c>
      <c r="B16" s="30" t="s">
        <v>66</v>
      </c>
      <c r="C16" s="30">
        <v>48187021</v>
      </c>
      <c r="D16" s="30" t="s">
        <v>124</v>
      </c>
      <c r="E16" s="31">
        <v>34283</v>
      </c>
      <c r="F16" s="30" t="s">
        <v>68</v>
      </c>
      <c r="G16" s="30" t="s">
        <v>69</v>
      </c>
      <c r="H16" s="30" t="s">
        <v>125</v>
      </c>
      <c r="I16" s="30" t="s">
        <v>71</v>
      </c>
      <c r="J16" s="37" t="s">
        <v>126</v>
      </c>
      <c r="K16" s="30"/>
      <c r="L16" s="38">
        <v>46146</v>
      </c>
      <c r="M16" s="31">
        <v>46143</v>
      </c>
      <c r="N16" s="31">
        <v>46172</v>
      </c>
      <c r="O16" s="31" t="str">
        <f t="shared" si="17"/>
        <v>Mayo - 20265</v>
      </c>
      <c r="P16" s="32" t="s">
        <v>73</v>
      </c>
      <c r="Q16" s="33">
        <v>1300</v>
      </c>
      <c r="R16" s="33"/>
      <c r="S16" s="32">
        <f>+COUNTIFS('[1]BD Asistencia'!$E:$E,"A",'[1]BD Asistencia'!$C:$C,'Planilla Mensual'!$D16,'[1]BD Asistencia'!$D:$D,"&lt;"&amp;'Planilla Mensual'!L16)</f>
        <v>0</v>
      </c>
      <c r="T16" s="32">
        <f>+COUNTIFS('[1]BD Asistencia'!$E:$E,"DR",'[1]BD Asistencia'!$C:$C,'Planilla Mensual'!$D16,'[1]BD Asistencia'!$D:$D,"&lt;"&amp;L16)</f>
        <v>0</v>
      </c>
      <c r="U16" s="32" t="e">
        <f>+COUNTIFS('[1]BD Asistencia'!$H:$H,"NO REMUNERADO",'[1]BD Asistencia'!$C:$C,'Planilla Mensual'!$D16,'[1]BD Asistencia'!$D:$D,"&lt;"&amp;L16)</f>
        <v>#VALUE!</v>
      </c>
      <c r="V16" s="32">
        <f>+COUNTIFS('[1]BD Asistencia'!$E:$E,"A",'[1]BD Asistencia'!$C:$C,'Planilla Mensual'!$D16,'[1]BD Asistencia'!$D:$D,"&gt;="&amp;'Planilla Mensual'!M16,'[1]BD Asistencia'!$D:$D,"&lt;="&amp;'Planilla Mensual'!N16)-S16</f>
        <v>23</v>
      </c>
      <c r="W16" s="32">
        <f>+COUNTIFS('[1]BD Asistencia'!$E:$E,"V",'[1]BD Asistencia'!$C:$C,'Planilla Mensual'!$D16,'[1]BD Asistencia'!$D:$D,"&gt;="&amp;'Planilla Mensual'!M16,'[1]BD Asistencia'!$D:$D,"&lt;="&amp;'Planilla Mensual'!N16)</f>
        <v>0</v>
      </c>
      <c r="X16" s="32">
        <f>+COUNTIFS('[1]BD Asistencia'!$E:$E,"DR",'[1]BD Asistencia'!$C:$C,'Planilla Mensual'!$D16,'[1]BD Asistencia'!$D:$D,"&gt;="&amp;'Planilla Mensual'!M16,'[1]BD Asistencia'!$D:$D,"&lt;="&amp;'Planilla Mensual'!N16)-T16</f>
        <v>3</v>
      </c>
      <c r="Y16" s="32">
        <f>+COUNTIFS('[1]BD Asistencia'!$E:$E,"h",'[1]BD Asistencia'!$C:$C,'Planilla Mensual'!$D16,'[1]BD Asistencia'!$D:$D,"&gt;="&amp;'Planilla Mensual'!M16,'[1]BD Asistencia'!$D:$D,"&lt;="&amp;'Planilla Mensual'!N16)</f>
        <v>0</v>
      </c>
      <c r="Z16" s="32">
        <f>+COUNTIFS('[1]BD Asistencia'!$E:$E,"h/A",'[1]BD Asistencia'!$C:$C,'Planilla Mensual'!$D16,'[1]BD Asistencia'!$D:$D,"&gt;="&amp;'Planilla Mensual'!M16,'[1]BD Asistencia'!$D:$D,"&lt;="&amp;'Planilla Mensual'!N16)</f>
        <v>0</v>
      </c>
      <c r="AA16" s="32" t="e">
        <f>+COUNTIFS('[1]BD Asistencia'!$H:$H,"NO REMUNERADO",'[1]BD Asistencia'!$C:$C,'Planilla Mensual'!$D16,'[1]BD Asistencia'!$D:$D,"&gt;="&amp;'Planilla Mensual'!M16,'[1]BD Asistencia'!$D:$D,"&lt;="&amp;'Planilla Mensual'!N16)-U16</f>
        <v>#VALUE!</v>
      </c>
      <c r="AB16" s="32">
        <f>+COUNTIFS('[1]BD Asistencia'!$E:$E,"F",'[1]BD Asistencia'!$C:$C,'Planilla Mensual'!$D16,'[1]BD Asistencia'!$D:$D,"&gt;="&amp;'Planilla Mensual'!M16,'[1]BD Asistencia'!$D:$D,"&lt;="&amp;'Planilla Mensual'!N16)</f>
        <v>0</v>
      </c>
      <c r="AC16" s="32" t="e">
        <f t="shared" si="18"/>
        <v>#VALUE!</v>
      </c>
      <c r="AD16" s="32">
        <v>20.5</v>
      </c>
      <c r="AE16" s="33">
        <f t="shared" si="25"/>
        <v>1126.6666666666667</v>
      </c>
      <c r="AF16" s="33">
        <f t="shared" si="19"/>
        <v>113</v>
      </c>
      <c r="AG16" s="33">
        <f t="shared" si="10"/>
        <v>0</v>
      </c>
      <c r="AH16" s="33">
        <v>400</v>
      </c>
      <c r="AI16" s="33">
        <f t="shared" si="11"/>
        <v>205</v>
      </c>
      <c r="AJ16" s="33">
        <f t="shared" si="12"/>
        <v>1844.6666666666667</v>
      </c>
      <c r="AK16" s="33">
        <f t="shared" si="0"/>
        <v>368</v>
      </c>
      <c r="AL16" s="33">
        <f t="shared" si="1"/>
        <v>690</v>
      </c>
      <c r="AM16" s="33">
        <f t="shared" si="2"/>
        <v>184.4666666666667</v>
      </c>
      <c r="AN16" s="33">
        <f t="shared" si="3"/>
        <v>25.271933333333337</v>
      </c>
      <c r="AO16" s="33">
        <f t="shared" si="4"/>
        <v>0</v>
      </c>
      <c r="AP16" s="33">
        <v>0</v>
      </c>
      <c r="AQ16" s="33"/>
      <c r="AR16" s="33">
        <f>180+30</f>
        <v>210</v>
      </c>
      <c r="AS16" s="33">
        <v>985.14111666666668</v>
      </c>
      <c r="AT16" s="33">
        <f t="shared" si="20"/>
        <v>1404.8797166666668</v>
      </c>
      <c r="AU16" s="33">
        <f t="shared" si="13"/>
        <v>439.78694999999993</v>
      </c>
      <c r="AV16" s="33">
        <f t="shared" si="21"/>
        <v>1058</v>
      </c>
      <c r="AW16" s="33">
        <f t="shared" si="14"/>
        <v>166.02</v>
      </c>
      <c r="AX16" s="33">
        <f t="shared" si="22"/>
        <v>1497.7869499999999</v>
      </c>
      <c r="AY16" s="35"/>
      <c r="AZ16" s="34" t="s">
        <v>127</v>
      </c>
      <c r="BB16" s="33">
        <f>+IF(RIGHT(F16,2)="N3",300,0)</f>
        <v>300</v>
      </c>
      <c r="BC16" s="33">
        <f t="shared" si="15"/>
        <v>260</v>
      </c>
      <c r="BD16" s="33">
        <f t="shared" si="26"/>
        <v>0</v>
      </c>
      <c r="BE16" s="33">
        <f t="shared" si="27"/>
        <v>0</v>
      </c>
      <c r="BF16" s="33"/>
      <c r="BG16" s="33">
        <v>1095.1411166666667</v>
      </c>
      <c r="BH16" s="33">
        <f t="shared" si="8"/>
        <v>110</v>
      </c>
      <c r="BI16" s="33">
        <f t="shared" si="9"/>
        <v>1647.7869499999999</v>
      </c>
      <c r="BJ16" s="33">
        <f t="shared" si="16"/>
        <v>3328.6866666666665</v>
      </c>
      <c r="BK16" s="13">
        <f t="shared" si="23"/>
        <v>144.72550724637679</v>
      </c>
      <c r="BL16" s="13">
        <f t="shared" si="24"/>
        <v>114.72550724637679</v>
      </c>
    </row>
    <row r="17" spans="1:67" x14ac:dyDescent="0.3">
      <c r="A17">
        <v>10</v>
      </c>
      <c r="B17" s="30" t="s">
        <v>66</v>
      </c>
      <c r="C17" s="30">
        <v>77709008</v>
      </c>
      <c r="D17" s="30" t="s">
        <v>128</v>
      </c>
      <c r="E17" s="31">
        <v>35588</v>
      </c>
      <c r="F17" s="30" t="s">
        <v>68</v>
      </c>
      <c r="G17" s="30" t="s">
        <v>69</v>
      </c>
      <c r="H17" s="30" t="s">
        <v>129</v>
      </c>
      <c r="I17" s="30" t="s">
        <v>71</v>
      </c>
      <c r="J17" s="30" t="s">
        <v>130</v>
      </c>
      <c r="K17" s="30"/>
      <c r="L17" s="38">
        <v>46146</v>
      </c>
      <c r="M17" s="31">
        <v>46143</v>
      </c>
      <c r="N17" s="31">
        <v>46172</v>
      </c>
      <c r="O17" s="31" t="str">
        <f t="shared" si="17"/>
        <v>Mayo - 20265</v>
      </c>
      <c r="P17" s="32" t="s">
        <v>73</v>
      </c>
      <c r="Q17" s="33">
        <v>1300</v>
      </c>
      <c r="R17" s="33"/>
      <c r="S17" s="32">
        <f>+COUNTIFS('[1]BD Asistencia'!$E:$E,"A",'[1]BD Asistencia'!$C:$C,'Planilla Mensual'!$D17,'[1]BD Asistencia'!$D:$D,"&lt;"&amp;'Planilla Mensual'!L17)</f>
        <v>1</v>
      </c>
      <c r="T17" s="32">
        <f>+COUNTIFS('[1]BD Asistencia'!$E:$E,"DR",'[1]BD Asistencia'!$C:$C,'Planilla Mensual'!$D17,'[1]BD Asistencia'!$D:$D,"&lt;"&amp;L17)</f>
        <v>0</v>
      </c>
      <c r="U17" s="32" t="e">
        <f>+COUNTIFS('[1]BD Asistencia'!$H:$H,"NO REMUNERADO",'[1]BD Asistencia'!$C:$C,'Planilla Mensual'!$D17,'[1]BD Asistencia'!$D:$D,"&lt;"&amp;L17)</f>
        <v>#VALUE!</v>
      </c>
      <c r="V17" s="39">
        <v>7</v>
      </c>
      <c r="W17" s="32">
        <f>+COUNTIFS('[1]BD Asistencia'!$E:$E,"V",'[1]BD Asistencia'!$C:$C,'Planilla Mensual'!$D17,'[1]BD Asistencia'!$D:$D,"&gt;="&amp;'Planilla Mensual'!M17,'[1]BD Asistencia'!$D:$D,"&lt;="&amp;'Planilla Mensual'!N17)</f>
        <v>0</v>
      </c>
      <c r="X17" s="32">
        <v>1</v>
      </c>
      <c r="Y17" s="32">
        <f>+COUNTIFS('[1]BD Asistencia'!$E:$E,"h",'[1]BD Asistencia'!$C:$C,'Planilla Mensual'!$D17,'[1]BD Asistencia'!$D:$D,"&gt;="&amp;'Planilla Mensual'!M17,'[1]BD Asistencia'!$D:$D,"&lt;="&amp;'Planilla Mensual'!N17)</f>
        <v>0</v>
      </c>
      <c r="Z17" s="32">
        <f>+COUNTIFS('[1]BD Asistencia'!$E:$E,"h/A",'[1]BD Asistencia'!$C:$C,'Planilla Mensual'!$D17,'[1]BD Asistencia'!$D:$D,"&gt;="&amp;'Planilla Mensual'!M17,'[1]BD Asistencia'!$D:$D,"&lt;="&amp;'Planilla Mensual'!N17)</f>
        <v>0</v>
      </c>
      <c r="AA17" s="32">
        <v>4</v>
      </c>
      <c r="AB17" s="32">
        <f>+COUNTIFS('[1]BD Asistencia'!$E:$E,"F",'[1]BD Asistencia'!$C:$C,'Planilla Mensual'!$D17,'[1]BD Asistencia'!$D:$D,"&gt;="&amp;'Planilla Mensual'!M17,'[1]BD Asistencia'!$D:$D,"&lt;="&amp;'Planilla Mensual'!N17)</f>
        <v>0</v>
      </c>
      <c r="AC17" s="32" t="e">
        <f t="shared" si="18"/>
        <v>#VALUE!</v>
      </c>
      <c r="AD17" s="32"/>
      <c r="AE17" s="33">
        <f t="shared" si="25"/>
        <v>346.66666666666669</v>
      </c>
      <c r="AF17" s="33">
        <f t="shared" si="19"/>
        <v>113</v>
      </c>
      <c r="AG17" s="33">
        <f t="shared" si="10"/>
        <v>0</v>
      </c>
      <c r="AH17" s="33">
        <v>0</v>
      </c>
      <c r="AI17" s="33">
        <f t="shared" si="11"/>
        <v>0</v>
      </c>
      <c r="AJ17" s="33">
        <f t="shared" si="12"/>
        <v>459.66666666666669</v>
      </c>
      <c r="AK17" s="33">
        <f t="shared" si="0"/>
        <v>112</v>
      </c>
      <c r="AL17" s="33">
        <f t="shared" si="1"/>
        <v>210</v>
      </c>
      <c r="AM17" s="33">
        <f t="shared" si="2"/>
        <v>45.966666666666669</v>
      </c>
      <c r="AN17" s="33">
        <f t="shared" si="3"/>
        <v>6.2974333333333341</v>
      </c>
      <c r="AO17" s="33">
        <f t="shared" si="4"/>
        <v>0</v>
      </c>
      <c r="AP17" s="33">
        <v>0</v>
      </c>
      <c r="AQ17" s="33"/>
      <c r="AR17" s="33">
        <f>30+64</f>
        <v>94</v>
      </c>
      <c r="AS17" s="33">
        <v>585.32661666666672</v>
      </c>
      <c r="AT17" s="33">
        <f t="shared" si="20"/>
        <v>731.59071666666671</v>
      </c>
      <c r="AU17" s="33">
        <f t="shared" si="13"/>
        <v>-271.92405000000002</v>
      </c>
      <c r="AV17" s="33">
        <f t="shared" si="21"/>
        <v>322</v>
      </c>
      <c r="AW17" s="33">
        <f t="shared" si="14"/>
        <v>101.7</v>
      </c>
      <c r="AX17" s="33">
        <f t="shared" si="22"/>
        <v>50.075949999999978</v>
      </c>
      <c r="AY17" s="33"/>
      <c r="AZ17" s="34" t="s">
        <v>131</v>
      </c>
      <c r="BB17" s="33">
        <f>+IF(RIGHT(F17,2)="N3",300,0)</f>
        <v>300</v>
      </c>
      <c r="BC17" s="33">
        <f t="shared" si="15"/>
        <v>80</v>
      </c>
      <c r="BD17" s="33">
        <f t="shared" si="26"/>
        <v>0</v>
      </c>
      <c r="BE17" s="33">
        <v>0</v>
      </c>
      <c r="BF17" s="33"/>
      <c r="BG17" s="33">
        <v>665.32661666666672</v>
      </c>
      <c r="BH17" s="33">
        <f t="shared" si="8"/>
        <v>80</v>
      </c>
      <c r="BI17" s="33">
        <f t="shared" si="9"/>
        <v>50.075949999999978</v>
      </c>
      <c r="BJ17" s="33">
        <f t="shared" si="16"/>
        <v>963.36666666666667</v>
      </c>
      <c r="BK17" s="13">
        <f t="shared" si="23"/>
        <v>120.42083333333333</v>
      </c>
      <c r="BL17" s="13">
        <f t="shared" si="24"/>
        <v>90.420833333333334</v>
      </c>
    </row>
    <row r="18" spans="1:67" x14ac:dyDescent="0.3">
      <c r="A18">
        <v>10</v>
      </c>
      <c r="B18" s="30" t="s">
        <v>66</v>
      </c>
      <c r="C18" s="30">
        <v>77236592</v>
      </c>
      <c r="D18" s="30" t="s">
        <v>132</v>
      </c>
      <c r="E18" s="31">
        <v>34712</v>
      </c>
      <c r="F18" s="30" t="s">
        <v>109</v>
      </c>
      <c r="G18" s="30" t="s">
        <v>133</v>
      </c>
      <c r="H18" s="30" t="s">
        <v>134</v>
      </c>
      <c r="I18" s="30" t="s">
        <v>71</v>
      </c>
      <c r="J18" s="30" t="s">
        <v>135</v>
      </c>
      <c r="K18" s="30"/>
      <c r="L18" s="38">
        <v>46153</v>
      </c>
      <c r="M18" s="31">
        <v>46143</v>
      </c>
      <c r="N18" s="31">
        <v>46172</v>
      </c>
      <c r="O18" s="31" t="str">
        <f t="shared" si="17"/>
        <v>Mayo - 20265</v>
      </c>
      <c r="P18" s="32" t="s">
        <v>81</v>
      </c>
      <c r="Q18" s="33">
        <v>1300</v>
      </c>
      <c r="R18" s="33">
        <v>80</v>
      </c>
      <c r="S18" s="32">
        <f>+COUNTIFS('[1]BD Asistencia'!$E:$E,"A",'[1]BD Asistencia'!$C:$C,'Planilla Mensual'!$D18,'[1]BD Asistencia'!$D:$D,"&lt;"&amp;'Planilla Mensual'!L18)</f>
        <v>3</v>
      </c>
      <c r="T18" s="32">
        <f>+COUNTIFS('[1]BD Asistencia'!$E:$E,"DR",'[1]BD Asistencia'!$C:$C,'Planilla Mensual'!$D18,'[1]BD Asistencia'!$D:$D,"&lt;"&amp;L18)</f>
        <v>0</v>
      </c>
      <c r="U18" s="32" t="e">
        <f>+COUNTIFS('[1]BD Asistencia'!$H:$H,"NO REMUNERADO",'[1]BD Asistencia'!$C:$C,'Planilla Mensual'!$D18,'[1]BD Asistencia'!$D:$D,"&lt;"&amp;L18)</f>
        <v>#VALUE!</v>
      </c>
      <c r="V18" s="32">
        <f>+COUNTIFS('[1]BD Asistencia'!$E:$E,"A",'[1]BD Asistencia'!$C:$C,'Planilla Mensual'!$D18,'[1]BD Asistencia'!$D:$D,"&gt;="&amp;'Planilla Mensual'!M18,'[1]BD Asistencia'!$D:$D,"&lt;="&amp;'Planilla Mensual'!N18)-S18</f>
        <v>18</v>
      </c>
      <c r="W18" s="32">
        <f>+COUNTIFS('[1]BD Asistencia'!$E:$E,"V",'[1]BD Asistencia'!$C:$C,'Planilla Mensual'!$D18,'[1]BD Asistencia'!$D:$D,"&gt;="&amp;'Planilla Mensual'!M18,'[1]BD Asistencia'!$D:$D,"&lt;="&amp;'Planilla Mensual'!N18)</f>
        <v>0</v>
      </c>
      <c r="X18" s="32">
        <f>+COUNTIFS('[1]BD Asistencia'!$E:$E,"DR",'[1]BD Asistencia'!$C:$C,'Planilla Mensual'!$D18,'[1]BD Asistencia'!$D:$D,"&gt;="&amp;'Planilla Mensual'!M18,'[1]BD Asistencia'!$D:$D,"&lt;="&amp;'Planilla Mensual'!N18)-T18</f>
        <v>2</v>
      </c>
      <c r="Y18" s="32">
        <f>+COUNTIFS('[1]BD Asistencia'!$E:$E,"h",'[1]BD Asistencia'!$C:$C,'Planilla Mensual'!$D18,'[1]BD Asistencia'!$D:$D,"&gt;="&amp;'Planilla Mensual'!M18,'[1]BD Asistencia'!$D:$D,"&lt;="&amp;'Planilla Mensual'!N18)</f>
        <v>0</v>
      </c>
      <c r="Z18" s="32">
        <f>+COUNTIFS('[1]BD Asistencia'!$E:$E,"h/A",'[1]BD Asistencia'!$C:$C,'Planilla Mensual'!$D18,'[1]BD Asistencia'!$D:$D,"&gt;="&amp;'Planilla Mensual'!M18,'[1]BD Asistencia'!$D:$D,"&lt;="&amp;'Planilla Mensual'!N18)</f>
        <v>0</v>
      </c>
      <c r="AA18" s="32" t="e">
        <f>+COUNTIFS('[1]BD Asistencia'!$H:$H,"NO REMUNERADO",'[1]BD Asistencia'!$C:$C,'Planilla Mensual'!$D18,'[1]BD Asistencia'!$D:$D,"&gt;="&amp;'Planilla Mensual'!M18,'[1]BD Asistencia'!$D:$D,"&lt;="&amp;'Planilla Mensual'!N18)-U18</f>
        <v>#VALUE!</v>
      </c>
      <c r="AB18" s="32">
        <f>+COUNTIFS('[1]BD Asistencia'!$E:$E,"F",'[1]BD Asistencia'!$C:$C,'Planilla Mensual'!$D18,'[1]BD Asistencia'!$D:$D,"&gt;="&amp;'Planilla Mensual'!M18,'[1]BD Asistencia'!$D:$D,"&lt;="&amp;'Planilla Mensual'!N18)</f>
        <v>0</v>
      </c>
      <c r="AC18" s="32" t="e">
        <f t="shared" si="18"/>
        <v>#VALUE!</v>
      </c>
      <c r="AD18" s="32">
        <v>10.67</v>
      </c>
      <c r="AE18" s="33">
        <f t="shared" si="25"/>
        <v>866.66666666666674</v>
      </c>
      <c r="AF18" s="33">
        <f t="shared" si="19"/>
        <v>0</v>
      </c>
      <c r="AG18" s="33">
        <f t="shared" si="10"/>
        <v>0</v>
      </c>
      <c r="AH18" s="33">
        <v>300</v>
      </c>
      <c r="AI18" s="33">
        <f t="shared" si="11"/>
        <v>106.7</v>
      </c>
      <c r="AJ18" s="33">
        <f t="shared" si="12"/>
        <v>1273.3666666666668</v>
      </c>
      <c r="AK18" s="33">
        <f t="shared" si="0"/>
        <v>144</v>
      </c>
      <c r="AL18" s="33">
        <f t="shared" si="1"/>
        <v>540</v>
      </c>
      <c r="AM18" s="33">
        <f t="shared" si="2"/>
        <v>127.33666666666669</v>
      </c>
      <c r="AN18" s="33">
        <f t="shared" si="3"/>
        <v>17.445123333333335</v>
      </c>
      <c r="AO18" s="33">
        <f t="shared" si="4"/>
        <v>0</v>
      </c>
      <c r="AP18" s="33">
        <v>0</v>
      </c>
      <c r="AQ18" s="33"/>
      <c r="AR18" s="33">
        <v>600</v>
      </c>
      <c r="AS18" s="33">
        <v>392.70266666666669</v>
      </c>
      <c r="AT18" s="33">
        <f t="shared" si="20"/>
        <v>1137.4844566666666</v>
      </c>
      <c r="AU18" s="33">
        <f t="shared" si="13"/>
        <v>135.88221000000021</v>
      </c>
      <c r="AV18" s="33">
        <f t="shared" si="21"/>
        <v>684</v>
      </c>
      <c r="AW18" s="33">
        <f t="shared" si="14"/>
        <v>114.60300000000001</v>
      </c>
      <c r="AX18" s="33">
        <f t="shared" si="22"/>
        <v>819.88221000000021</v>
      </c>
      <c r="AY18" s="35"/>
      <c r="AZ18" s="34" t="s">
        <v>136</v>
      </c>
      <c r="BB18" s="33">
        <f>+IF(RIGHT(F18,2)="N3",300,0)</f>
        <v>0</v>
      </c>
      <c r="BC18" s="33">
        <f t="shared" si="15"/>
        <v>0</v>
      </c>
      <c r="BD18" s="33">
        <f t="shared" si="26"/>
        <v>240</v>
      </c>
      <c r="BE18" s="33">
        <f t="shared" ref="BE18:BE19" si="28">+S18*30</f>
        <v>90</v>
      </c>
      <c r="BF18" s="33"/>
      <c r="BG18" s="33">
        <v>472.70266666666669</v>
      </c>
      <c r="BH18" s="33">
        <f t="shared" si="8"/>
        <v>80</v>
      </c>
      <c r="BI18" s="33">
        <f t="shared" si="9"/>
        <v>1069.8822100000002</v>
      </c>
      <c r="BJ18" s="33">
        <f t="shared" si="16"/>
        <v>2401.9696666666669</v>
      </c>
      <c r="BK18" s="13">
        <f t="shared" si="23"/>
        <v>114.37950793650795</v>
      </c>
      <c r="BL18" s="13">
        <f>+BK18-30</f>
        <v>84.379507936507949</v>
      </c>
      <c r="BN18">
        <f>+BI18/14</f>
        <v>76.420157857142868</v>
      </c>
      <c r="BO18">
        <f>1542/21</f>
        <v>73.428571428571431</v>
      </c>
    </row>
    <row r="19" spans="1:67" x14ac:dyDescent="0.3">
      <c r="A19">
        <v>10</v>
      </c>
      <c r="B19" s="30" t="s">
        <v>66</v>
      </c>
      <c r="C19" s="30">
        <v>70828937</v>
      </c>
      <c r="D19" s="30" t="s">
        <v>137</v>
      </c>
      <c r="E19" s="31">
        <v>36383</v>
      </c>
      <c r="F19" s="30" t="s">
        <v>68</v>
      </c>
      <c r="G19" s="30" t="s">
        <v>88</v>
      </c>
      <c r="H19" s="30" t="s">
        <v>138</v>
      </c>
      <c r="I19" s="30" t="s">
        <v>71</v>
      </c>
      <c r="J19" s="30" t="s">
        <v>139</v>
      </c>
      <c r="K19" s="30"/>
      <c r="L19" s="38">
        <v>46153</v>
      </c>
      <c r="M19" s="31">
        <v>46143</v>
      </c>
      <c r="N19" s="31">
        <v>46172</v>
      </c>
      <c r="O19" s="31" t="str">
        <f t="shared" si="17"/>
        <v>Mayo - 20265</v>
      </c>
      <c r="P19" s="32" t="s">
        <v>73</v>
      </c>
      <c r="Q19" s="33">
        <v>1300</v>
      </c>
      <c r="R19" s="33"/>
      <c r="S19" s="32">
        <f>+COUNTIFS('[1]BD Asistencia'!$E:$E,"A",'[1]BD Asistencia'!$C:$C,'Planilla Mensual'!$D19,'[1]BD Asistencia'!$D:$D,"&lt;"&amp;'Planilla Mensual'!L19)</f>
        <v>0</v>
      </c>
      <c r="T19" s="32">
        <f>+COUNTIFS('[1]BD Asistencia'!$E:$E,"DR",'[1]BD Asistencia'!$C:$C,'Planilla Mensual'!$D19,'[1]BD Asistencia'!$D:$D,"&lt;"&amp;L19)</f>
        <v>0</v>
      </c>
      <c r="U19" s="32" t="e">
        <f>+COUNTIFS('[1]BD Asistencia'!$H:$H,"NO REMUNERADO",'[1]BD Asistencia'!$C:$C,'Planilla Mensual'!$D19,'[1]BD Asistencia'!$D:$D,"&lt;"&amp;L19)</f>
        <v>#VALUE!</v>
      </c>
      <c r="V19" s="32">
        <f>+COUNTIFS('[1]BD Asistencia'!$E:$E,"A",'[1]BD Asistencia'!$C:$C,'Planilla Mensual'!$D19,'[1]BD Asistencia'!$D:$D,"&gt;="&amp;'Planilla Mensual'!M19,'[1]BD Asistencia'!$D:$D,"&lt;="&amp;'Planilla Mensual'!N19)-S19</f>
        <v>18</v>
      </c>
      <c r="W19" s="32">
        <f>+COUNTIFS('[1]BD Asistencia'!$E:$E,"V",'[1]BD Asistencia'!$C:$C,'Planilla Mensual'!$D19,'[1]BD Asistencia'!$D:$D,"&gt;="&amp;'Planilla Mensual'!M19,'[1]BD Asistencia'!$D:$D,"&lt;="&amp;'Planilla Mensual'!N19)</f>
        <v>0</v>
      </c>
      <c r="X19" s="32">
        <f>+COUNTIFS('[1]BD Asistencia'!$E:$E,"DR",'[1]BD Asistencia'!$C:$C,'Planilla Mensual'!$D19,'[1]BD Asistencia'!$D:$D,"&gt;="&amp;'Planilla Mensual'!M19,'[1]BD Asistencia'!$D:$D,"&lt;="&amp;'Planilla Mensual'!N19)-T19</f>
        <v>2</v>
      </c>
      <c r="Y19" s="32">
        <f>+COUNTIFS('[1]BD Asistencia'!$E:$E,"h",'[1]BD Asistencia'!$C:$C,'Planilla Mensual'!$D19,'[1]BD Asistencia'!$D:$D,"&gt;="&amp;'Planilla Mensual'!M19,'[1]BD Asistencia'!$D:$D,"&lt;="&amp;'Planilla Mensual'!N19)</f>
        <v>0</v>
      </c>
      <c r="Z19" s="32">
        <f>+COUNTIFS('[1]BD Asistencia'!$E:$E,"h/A",'[1]BD Asistencia'!$C:$C,'Planilla Mensual'!$D19,'[1]BD Asistencia'!$D:$D,"&gt;="&amp;'Planilla Mensual'!M19,'[1]BD Asistencia'!$D:$D,"&lt;="&amp;'Planilla Mensual'!N19)</f>
        <v>0</v>
      </c>
      <c r="AA19" s="32" t="e">
        <f>+COUNTIFS('[1]BD Asistencia'!$H:$H,"NO REMUNERADO",'[1]BD Asistencia'!$C:$C,'Planilla Mensual'!$D19,'[1]BD Asistencia'!$D:$D,"&gt;="&amp;'Planilla Mensual'!M19,'[1]BD Asistencia'!$D:$D,"&lt;="&amp;'Planilla Mensual'!N19)-U19</f>
        <v>#VALUE!</v>
      </c>
      <c r="AB19" s="32">
        <f>+COUNTIFS('[1]BD Asistencia'!$E:$E,"F",'[1]BD Asistencia'!$C:$C,'Planilla Mensual'!$D19,'[1]BD Asistencia'!$D:$D,"&gt;="&amp;'Planilla Mensual'!M19,'[1]BD Asistencia'!$D:$D,"&lt;="&amp;'Planilla Mensual'!N19)</f>
        <v>0</v>
      </c>
      <c r="AC19" s="32" t="e">
        <f t="shared" si="18"/>
        <v>#VALUE!</v>
      </c>
      <c r="AD19" s="32">
        <v>4.3499999999999996</v>
      </c>
      <c r="AE19" s="33">
        <f>+Q19/30*SUM(V19:Z19)</f>
        <v>866.66666666666674</v>
      </c>
      <c r="AF19" s="33">
        <f t="shared" si="19"/>
        <v>113</v>
      </c>
      <c r="AG19" s="33">
        <f t="shared" si="10"/>
        <v>0</v>
      </c>
      <c r="AH19" s="33">
        <v>300</v>
      </c>
      <c r="AI19" s="33">
        <f t="shared" si="11"/>
        <v>43.5</v>
      </c>
      <c r="AJ19" s="33">
        <f t="shared" si="12"/>
        <v>1323.1666666666667</v>
      </c>
      <c r="AK19" s="33">
        <f t="shared" si="0"/>
        <v>288</v>
      </c>
      <c r="AL19" s="33">
        <f t="shared" si="1"/>
        <v>540</v>
      </c>
      <c r="AM19" s="33">
        <f t="shared" si="2"/>
        <v>132.31666666666669</v>
      </c>
      <c r="AN19" s="33">
        <f t="shared" si="3"/>
        <v>18.127383333333334</v>
      </c>
      <c r="AO19" s="33">
        <f t="shared" si="4"/>
        <v>0</v>
      </c>
      <c r="AP19" s="33">
        <v>0</v>
      </c>
      <c r="AQ19" s="33"/>
      <c r="AR19" s="33">
        <f>(180+200+230)/2</f>
        <v>305</v>
      </c>
      <c r="AS19" s="33">
        <v>480.73761666666667</v>
      </c>
      <c r="AT19" s="33">
        <f t="shared" si="20"/>
        <v>936.18166666666673</v>
      </c>
      <c r="AU19" s="33">
        <f t="shared" si="13"/>
        <v>386.98500000000001</v>
      </c>
      <c r="AV19" s="33">
        <f t="shared" si="21"/>
        <v>828</v>
      </c>
      <c r="AW19" s="33">
        <f t="shared" si="14"/>
        <v>119.08500000000001</v>
      </c>
      <c r="AX19" s="33">
        <f t="shared" si="22"/>
        <v>1214.9850000000001</v>
      </c>
      <c r="AY19" s="35"/>
      <c r="AZ19" s="34" t="s">
        <v>140</v>
      </c>
      <c r="BB19" s="33">
        <f>+IF(RIGHT(F19,2)="N3",300,0)</f>
        <v>300</v>
      </c>
      <c r="BC19" s="33">
        <f t="shared" si="15"/>
        <v>200</v>
      </c>
      <c r="BD19" s="33">
        <f t="shared" si="26"/>
        <v>0</v>
      </c>
      <c r="BE19" s="33">
        <f t="shared" si="28"/>
        <v>0</v>
      </c>
      <c r="BF19" s="33"/>
      <c r="BG19" s="33">
        <v>530.73761666666667</v>
      </c>
      <c r="BH19" s="33">
        <f t="shared" si="8"/>
        <v>50</v>
      </c>
      <c r="BI19" s="33">
        <f t="shared" si="9"/>
        <v>1364.9850000000001</v>
      </c>
      <c r="BJ19" s="33">
        <f t="shared" si="16"/>
        <v>2470.251666666667</v>
      </c>
      <c r="BK19" s="13">
        <f t="shared" si="23"/>
        <v>137.23620370370372</v>
      </c>
      <c r="BL19" s="13">
        <f t="shared" si="24"/>
        <v>107.23620370370372</v>
      </c>
    </row>
    <row r="20" spans="1:67" x14ac:dyDescent="0.3">
      <c r="A20">
        <v>10</v>
      </c>
      <c r="B20" s="30" t="s">
        <v>141</v>
      </c>
      <c r="C20" s="30">
        <v>43070165</v>
      </c>
      <c r="D20" s="30" t="s">
        <v>142</v>
      </c>
      <c r="E20" s="40">
        <v>45784</v>
      </c>
      <c r="F20" s="41"/>
      <c r="G20" s="41"/>
      <c r="H20" s="41"/>
      <c r="I20" s="41" t="s">
        <v>71</v>
      </c>
      <c r="J20" s="41" t="s">
        <v>143</v>
      </c>
      <c r="K20" s="41"/>
      <c r="L20" s="42">
        <v>46204</v>
      </c>
      <c r="M20" s="31">
        <v>46143</v>
      </c>
      <c r="N20" s="31">
        <v>46173</v>
      </c>
      <c r="O20" s="31" t="str">
        <f t="shared" si="17"/>
        <v>Mayo - 20265</v>
      </c>
      <c r="P20" s="32" t="s">
        <v>73</v>
      </c>
      <c r="Q20" s="33"/>
      <c r="R20" s="33">
        <v>90</v>
      </c>
      <c r="S20" s="32">
        <f>+COUNTIFS('[1]BD Asistencia'!$E:$E,"A",'[1]BD Asistencia'!$C:$C,'Planilla Mensual'!$D20,'[1]BD Asistencia'!$D:$D,"&lt;"&amp;'Planilla Mensual'!L20)</f>
        <v>25</v>
      </c>
      <c r="T20" s="32">
        <f>+COUNTIFS('[1]BD Asistencia'!$E:$E,"DR",'[1]BD Asistencia'!$C:$C,'Planilla Mensual'!$D20,'[1]BD Asistencia'!$D:$D,"&lt;"&amp;L20)</f>
        <v>6</v>
      </c>
      <c r="U20" s="32" t="e">
        <f>+COUNTIFS('[1]BD Asistencia'!$H:$H,"NO REMUNERADO",'[1]BD Asistencia'!$C:$C,'Planilla Mensual'!$D20,'[1]BD Asistencia'!$D:$D,"&lt;"&amp;L20)</f>
        <v>#VALUE!</v>
      </c>
      <c r="V20" s="32">
        <f>+COUNTIFS('[1]BD Asistencia'!$E:$E,"A",'[1]BD Asistencia'!$C:$C,'Planilla Mensual'!$D20,'[1]BD Asistencia'!$D:$D,"&gt;="&amp;'Planilla Mensual'!M20,'[1]BD Asistencia'!$D:$D,"&lt;="&amp;'Planilla Mensual'!N20)-S20</f>
        <v>0</v>
      </c>
      <c r="W20" s="32">
        <f>+COUNTIFS('[1]BD Asistencia'!$E:$E,"V",'[1]BD Asistencia'!$C:$C,'Planilla Mensual'!$D20,'[1]BD Asistencia'!$D:$D,"&gt;="&amp;'Planilla Mensual'!M20,'[1]BD Asistencia'!$D:$D,"&lt;="&amp;'Planilla Mensual'!N20)</f>
        <v>0</v>
      </c>
      <c r="X20" s="32">
        <f>+COUNTIFS('[1]BD Asistencia'!$E:$E,"DR",'[1]BD Asistencia'!$C:$C,'Planilla Mensual'!$D20,'[1]BD Asistencia'!$D:$D,"&gt;="&amp;'Planilla Mensual'!M20,'[1]BD Asistencia'!$D:$D,"&lt;="&amp;'Planilla Mensual'!N20)-T20</f>
        <v>0</v>
      </c>
      <c r="Y20" s="32">
        <f>+COUNTIFS('[1]BD Asistencia'!$E:$E,"h",'[1]BD Asistencia'!$C:$C,'Planilla Mensual'!$D20,'[1]BD Asistencia'!$D:$D,"&gt;="&amp;'Planilla Mensual'!M20,'[1]BD Asistencia'!$D:$D,"&lt;="&amp;'Planilla Mensual'!N20)</f>
        <v>0</v>
      </c>
      <c r="Z20" s="32">
        <f>+COUNTIFS('[1]BD Asistencia'!$E:$E,"h/A",'[1]BD Asistencia'!$C:$C,'Planilla Mensual'!$D20,'[1]BD Asistencia'!$D:$D,"&gt;="&amp;'Planilla Mensual'!M20,'[1]BD Asistencia'!$D:$D,"&lt;="&amp;'Planilla Mensual'!N20)</f>
        <v>0</v>
      </c>
      <c r="AA20" s="32" t="e">
        <f>+COUNTIFS('[1]BD Asistencia'!$H:$H,"NO REMUNERADO",'[1]BD Asistencia'!$C:$C,'Planilla Mensual'!$D20,'[1]BD Asistencia'!$D:$D,"&gt;="&amp;'Planilla Mensual'!M20,'[1]BD Asistencia'!$D:$D,"&lt;="&amp;'Planilla Mensual'!N20)-U20</f>
        <v>#VALUE!</v>
      </c>
      <c r="AB20" s="32">
        <f>+COUNTIFS('[1]BD Asistencia'!$E:$E,"F",'[1]BD Asistencia'!$C:$C,'Planilla Mensual'!$D20,'[1]BD Asistencia'!$D:$D,"&gt;="&amp;'Planilla Mensual'!M20,'[1]BD Asistencia'!$D:$D,"&lt;="&amp;'Planilla Mensual'!N20)</f>
        <v>0</v>
      </c>
      <c r="AC20" s="32" t="e">
        <f t="shared" si="18"/>
        <v>#VALUE!</v>
      </c>
      <c r="AD20" s="32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>
        <f t="shared" si="20"/>
        <v>0</v>
      </c>
      <c r="AU20" s="33">
        <f t="shared" si="13"/>
        <v>0</v>
      </c>
      <c r="AV20" s="33">
        <f t="shared" si="21"/>
        <v>0</v>
      </c>
      <c r="AW20" s="33"/>
      <c r="AX20" s="33">
        <f t="shared" si="22"/>
        <v>0</v>
      </c>
      <c r="AY20" s="35"/>
      <c r="AZ20" s="35"/>
      <c r="BB20" s="33"/>
      <c r="BC20" s="33"/>
      <c r="BD20" s="33">
        <f t="shared" si="26"/>
        <v>2790</v>
      </c>
      <c r="BE20" s="33"/>
      <c r="BF20" s="33">
        <f t="shared" ref="BF20:BF27" si="29">+AD20*A20</f>
        <v>0</v>
      </c>
      <c r="BG20" s="33">
        <v>1350</v>
      </c>
      <c r="BH20" s="33">
        <f t="shared" si="8"/>
        <v>1350</v>
      </c>
      <c r="BI20" s="33">
        <f t="shared" si="9"/>
        <v>1440</v>
      </c>
      <c r="BJ20" s="33">
        <f t="shared" si="16"/>
        <v>2790</v>
      </c>
    </row>
    <row r="21" spans="1:67" x14ac:dyDescent="0.3">
      <c r="A21">
        <v>18</v>
      </c>
      <c r="B21" s="30" t="s">
        <v>141</v>
      </c>
      <c r="C21" s="30">
        <v>47665126</v>
      </c>
      <c r="D21" s="30" t="s">
        <v>144</v>
      </c>
      <c r="E21" s="31">
        <v>33994</v>
      </c>
      <c r="F21" s="30"/>
      <c r="G21" s="30"/>
      <c r="H21" s="30"/>
      <c r="I21" s="30" t="s">
        <v>71</v>
      </c>
      <c r="J21" s="30" t="s">
        <v>145</v>
      </c>
      <c r="K21" s="30"/>
      <c r="L21" s="38">
        <v>46204</v>
      </c>
      <c r="M21" s="31">
        <v>46143</v>
      </c>
      <c r="N21" s="31">
        <v>46173</v>
      </c>
      <c r="O21" s="31" t="str">
        <f t="shared" si="17"/>
        <v>Mayo - 20265</v>
      </c>
      <c r="P21" s="32" t="s">
        <v>73</v>
      </c>
      <c r="Q21" s="33"/>
      <c r="R21" s="33">
        <v>80</v>
      </c>
      <c r="S21" s="32">
        <f>+COUNTIFS('[1]BD Asistencia'!$E:$E,"A",'[1]BD Asistencia'!$C:$C,'Planilla Mensual'!$D21,'[1]BD Asistencia'!$D:$D,"&lt;"&amp;'Planilla Mensual'!L21)</f>
        <v>30</v>
      </c>
      <c r="T21" s="32">
        <f>+COUNTIFS('[1]BD Asistencia'!$E:$E,"DR",'[1]BD Asistencia'!$C:$C,'Planilla Mensual'!$D21,'[1]BD Asistencia'!$D:$D,"&lt;"&amp;L21)</f>
        <v>1</v>
      </c>
      <c r="U21" s="32" t="e">
        <f>+COUNTIFS('[1]BD Asistencia'!$H:$H,"NO REMUNERADO",'[1]BD Asistencia'!$C:$C,'Planilla Mensual'!$D21,'[1]BD Asistencia'!$D:$D,"&lt;"&amp;L21)</f>
        <v>#VALUE!</v>
      </c>
      <c r="V21" s="32">
        <f>+COUNTIFS('[1]BD Asistencia'!$E:$E,"A",'[1]BD Asistencia'!$C:$C,'Planilla Mensual'!$D21,'[1]BD Asistencia'!$D:$D,"&gt;="&amp;'Planilla Mensual'!M21,'[1]BD Asistencia'!$D:$D,"&lt;="&amp;'Planilla Mensual'!N21)-S21</f>
        <v>0</v>
      </c>
      <c r="W21" s="32">
        <f>+COUNTIFS('[1]BD Asistencia'!$E:$E,"V",'[1]BD Asistencia'!$C:$C,'Planilla Mensual'!$D21,'[1]BD Asistencia'!$D:$D,"&gt;="&amp;'Planilla Mensual'!M21,'[1]BD Asistencia'!$D:$D,"&lt;="&amp;'Planilla Mensual'!N21)</f>
        <v>0</v>
      </c>
      <c r="X21" s="32">
        <f>+COUNTIFS('[1]BD Asistencia'!$E:$E,"DR",'[1]BD Asistencia'!$C:$C,'Planilla Mensual'!$D21,'[1]BD Asistencia'!$D:$D,"&gt;="&amp;'Planilla Mensual'!M21,'[1]BD Asistencia'!$D:$D,"&lt;="&amp;'Planilla Mensual'!N21)-T21</f>
        <v>0</v>
      </c>
      <c r="Y21" s="32">
        <f>+COUNTIFS('[1]BD Asistencia'!$E:$E,"h",'[1]BD Asistencia'!$C:$C,'Planilla Mensual'!$D21,'[1]BD Asistencia'!$D:$D,"&gt;="&amp;'Planilla Mensual'!M21,'[1]BD Asistencia'!$D:$D,"&lt;="&amp;'Planilla Mensual'!N21)</f>
        <v>0</v>
      </c>
      <c r="Z21" s="32">
        <f>+COUNTIFS('[1]BD Asistencia'!$E:$E,"h/A",'[1]BD Asistencia'!$C:$C,'Planilla Mensual'!$D21,'[1]BD Asistencia'!$D:$D,"&gt;="&amp;'Planilla Mensual'!M21,'[1]BD Asistencia'!$D:$D,"&lt;="&amp;'Planilla Mensual'!N21)</f>
        <v>0</v>
      </c>
      <c r="AA21" s="32" t="e">
        <f>+COUNTIFS('[1]BD Asistencia'!$H:$H,"NO REMUNERADO",'[1]BD Asistencia'!$C:$C,'Planilla Mensual'!$D21,'[1]BD Asistencia'!$D:$D,"&gt;="&amp;'Planilla Mensual'!M21,'[1]BD Asistencia'!$D:$D,"&lt;="&amp;'Planilla Mensual'!N21)-U21</f>
        <v>#VALUE!</v>
      </c>
      <c r="AB21" s="32">
        <f>+COUNTIFS('[1]BD Asistencia'!$E:$E,"F",'[1]BD Asistencia'!$C:$C,'Planilla Mensual'!$D21,'[1]BD Asistencia'!$D:$D,"&gt;="&amp;'Planilla Mensual'!M21,'[1]BD Asistencia'!$D:$D,"&lt;="&amp;'Planilla Mensual'!N21)</f>
        <v>0</v>
      </c>
      <c r="AC21" s="32" t="e">
        <f t="shared" si="18"/>
        <v>#VALUE!</v>
      </c>
      <c r="AD21" s="32">
        <v>20.5</v>
      </c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>
        <f t="shared" si="20"/>
        <v>0</v>
      </c>
      <c r="AU21" s="33">
        <f t="shared" si="13"/>
        <v>0</v>
      </c>
      <c r="AV21" s="33">
        <f t="shared" si="21"/>
        <v>0</v>
      </c>
      <c r="AW21" s="33"/>
      <c r="AX21" s="33">
        <f t="shared" si="22"/>
        <v>0</v>
      </c>
      <c r="AY21" s="35"/>
      <c r="AZ21" s="35"/>
      <c r="BB21" s="33"/>
      <c r="BC21" s="33"/>
      <c r="BD21" s="33">
        <f t="shared" si="26"/>
        <v>2480</v>
      </c>
      <c r="BE21" s="33"/>
      <c r="BF21" s="33">
        <f t="shared" si="29"/>
        <v>369</v>
      </c>
      <c r="BG21" s="33">
        <v>1254</v>
      </c>
      <c r="BH21" s="33">
        <f t="shared" si="8"/>
        <v>1254</v>
      </c>
      <c r="BI21" s="33">
        <f t="shared" si="9"/>
        <v>1595</v>
      </c>
      <c r="BJ21" s="33">
        <f t="shared" si="16"/>
        <v>2849</v>
      </c>
    </row>
    <row r="22" spans="1:67" x14ac:dyDescent="0.3">
      <c r="A22">
        <v>10</v>
      </c>
      <c r="B22" s="30" t="s">
        <v>141</v>
      </c>
      <c r="C22" s="30">
        <v>8123707</v>
      </c>
      <c r="D22" s="30" t="s">
        <v>146</v>
      </c>
      <c r="E22" s="31">
        <v>32714</v>
      </c>
      <c r="F22" s="30"/>
      <c r="G22" s="30"/>
      <c r="H22" s="30"/>
      <c r="I22" s="30" t="s">
        <v>71</v>
      </c>
      <c r="J22" s="30" t="s">
        <v>147</v>
      </c>
      <c r="K22" s="30"/>
      <c r="L22" s="38">
        <v>46204</v>
      </c>
      <c r="M22" s="31">
        <v>46143</v>
      </c>
      <c r="N22" s="31">
        <v>46173</v>
      </c>
      <c r="O22" s="31" t="str">
        <f t="shared" si="17"/>
        <v>Mayo - 20265</v>
      </c>
      <c r="P22" s="32" t="s">
        <v>73</v>
      </c>
      <c r="Q22" s="33"/>
      <c r="R22" s="33">
        <v>80</v>
      </c>
      <c r="S22" s="32">
        <f>+COUNTIFS('[1]BD Asistencia'!$E:$E,"A",'[1]BD Asistencia'!$C:$C,'Planilla Mensual'!$D22,'[1]BD Asistencia'!$D:$D,"&lt;"&amp;'Planilla Mensual'!L22)</f>
        <v>22</v>
      </c>
      <c r="T22" s="32">
        <f>+COUNTIFS('[1]BD Asistencia'!$E:$E,"DR",'[1]BD Asistencia'!$C:$C,'Planilla Mensual'!$D22,'[1]BD Asistencia'!$D:$D,"&lt;"&amp;L22)</f>
        <v>4</v>
      </c>
      <c r="U22" s="32" t="e">
        <f>+COUNTIFS('[1]BD Asistencia'!$H:$H,"NO REMUNERADO",'[1]BD Asistencia'!$C:$C,'Planilla Mensual'!$D22,'[1]BD Asistencia'!$D:$D,"&lt;"&amp;L22)</f>
        <v>#VALUE!</v>
      </c>
      <c r="V22" s="32">
        <f>+COUNTIFS('[1]BD Asistencia'!$E:$E,"A",'[1]BD Asistencia'!$C:$C,'Planilla Mensual'!$D22,'[1]BD Asistencia'!$D:$D,"&gt;="&amp;'Planilla Mensual'!M22,'[1]BD Asistencia'!$D:$D,"&lt;="&amp;'Planilla Mensual'!N22)-S22</f>
        <v>0</v>
      </c>
      <c r="W22" s="32">
        <f>+COUNTIFS('[1]BD Asistencia'!$E:$E,"V",'[1]BD Asistencia'!$C:$C,'Planilla Mensual'!$D22,'[1]BD Asistencia'!$D:$D,"&gt;="&amp;'Planilla Mensual'!M22,'[1]BD Asistencia'!$D:$D,"&lt;="&amp;'Planilla Mensual'!N22)</f>
        <v>0</v>
      </c>
      <c r="X22" s="32">
        <f>+COUNTIFS('[1]BD Asistencia'!$E:$E,"DR",'[1]BD Asistencia'!$C:$C,'Planilla Mensual'!$D22,'[1]BD Asistencia'!$D:$D,"&gt;="&amp;'Planilla Mensual'!M22,'[1]BD Asistencia'!$D:$D,"&lt;="&amp;'Planilla Mensual'!N22)-T22</f>
        <v>0</v>
      </c>
      <c r="Y22" s="32">
        <f>+COUNTIFS('[1]BD Asistencia'!$E:$E,"h",'[1]BD Asistencia'!$C:$C,'Planilla Mensual'!$D22,'[1]BD Asistencia'!$D:$D,"&gt;="&amp;'Planilla Mensual'!M22,'[1]BD Asistencia'!$D:$D,"&lt;="&amp;'Planilla Mensual'!N22)</f>
        <v>0</v>
      </c>
      <c r="Z22" s="32">
        <f>+COUNTIFS('[1]BD Asistencia'!$E:$E,"h/A",'[1]BD Asistencia'!$C:$C,'Planilla Mensual'!$D22,'[1]BD Asistencia'!$D:$D,"&gt;="&amp;'Planilla Mensual'!M22,'[1]BD Asistencia'!$D:$D,"&lt;="&amp;'Planilla Mensual'!N22)</f>
        <v>0</v>
      </c>
      <c r="AA22" s="32" t="e">
        <f>+COUNTIFS('[1]BD Asistencia'!$H:$H,"NO REMUNERADO",'[1]BD Asistencia'!$C:$C,'Planilla Mensual'!$D22,'[1]BD Asistencia'!$D:$D,"&gt;="&amp;'Planilla Mensual'!M22,'[1]BD Asistencia'!$D:$D,"&lt;="&amp;'Planilla Mensual'!N22)-U22</f>
        <v>#VALUE!</v>
      </c>
      <c r="AB22" s="32">
        <f>+COUNTIFS('[1]BD Asistencia'!$E:$E,"F",'[1]BD Asistencia'!$C:$C,'Planilla Mensual'!$D22,'[1]BD Asistencia'!$D:$D,"&gt;="&amp;'Planilla Mensual'!M22,'[1]BD Asistencia'!$D:$D,"&lt;="&amp;'Planilla Mensual'!N22)</f>
        <v>0</v>
      </c>
      <c r="AC22" s="32" t="e">
        <f t="shared" si="18"/>
        <v>#VALUE!</v>
      </c>
      <c r="AD22" s="32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>
        <f t="shared" si="20"/>
        <v>0</v>
      </c>
      <c r="AU22" s="33">
        <f t="shared" si="13"/>
        <v>0</v>
      </c>
      <c r="AV22" s="33">
        <f t="shared" si="21"/>
        <v>0</v>
      </c>
      <c r="AW22" s="33"/>
      <c r="AX22" s="33">
        <f t="shared" si="22"/>
        <v>0</v>
      </c>
      <c r="AY22" s="35"/>
      <c r="AZ22" s="35"/>
      <c r="BB22" s="33"/>
      <c r="BC22" s="33"/>
      <c r="BD22" s="33">
        <f t="shared" si="26"/>
        <v>2080</v>
      </c>
      <c r="BE22" s="33"/>
      <c r="BF22" s="33">
        <f t="shared" si="29"/>
        <v>0</v>
      </c>
      <c r="BG22" s="33">
        <v>880</v>
      </c>
      <c r="BH22" s="33">
        <f t="shared" si="8"/>
        <v>880</v>
      </c>
      <c r="BI22" s="33">
        <f t="shared" si="9"/>
        <v>1200</v>
      </c>
      <c r="BJ22" s="33">
        <f t="shared" si="16"/>
        <v>2080</v>
      </c>
    </row>
    <row r="23" spans="1:67" x14ac:dyDescent="0.3">
      <c r="A23">
        <v>10</v>
      </c>
      <c r="B23" s="30" t="s">
        <v>141</v>
      </c>
      <c r="C23" s="30"/>
      <c r="D23" s="30" t="s">
        <v>148</v>
      </c>
      <c r="E23" s="31"/>
      <c r="F23" s="30"/>
      <c r="G23" s="30"/>
      <c r="H23" s="30"/>
      <c r="I23" s="30" t="s">
        <v>149</v>
      </c>
      <c r="J23" s="30" t="s">
        <v>150</v>
      </c>
      <c r="K23" s="30"/>
      <c r="L23" s="38">
        <v>46204</v>
      </c>
      <c r="M23" s="31">
        <v>46143</v>
      </c>
      <c r="N23" s="31">
        <v>46173</v>
      </c>
      <c r="O23" s="31" t="str">
        <f t="shared" si="17"/>
        <v>Mayo - 20265</v>
      </c>
      <c r="P23" s="32"/>
      <c r="Q23" s="33"/>
      <c r="R23" s="33">
        <v>100</v>
      </c>
      <c r="S23" s="32">
        <f>+COUNTIFS('[1]BD Asistencia'!$E:$E,"A",'[1]BD Asistencia'!$C:$C,'Planilla Mensual'!$D23,'[1]BD Asistencia'!$D:$D,"&lt;"&amp;'Planilla Mensual'!L23)</f>
        <v>2</v>
      </c>
      <c r="T23" s="32">
        <f>+COUNTIFS('[1]BD Asistencia'!$E:$E,"DR",'[1]BD Asistencia'!$C:$C,'Planilla Mensual'!$D23,'[1]BD Asistencia'!$D:$D,"&lt;"&amp;L23)</f>
        <v>0</v>
      </c>
      <c r="U23" s="32" t="e">
        <f>+COUNTIFS('[1]BD Asistencia'!$H:$H,"NO REMUNERADO",'[1]BD Asistencia'!$C:$C,'Planilla Mensual'!$D23,'[1]BD Asistencia'!$D:$D,"&lt;"&amp;L23)</f>
        <v>#VALUE!</v>
      </c>
      <c r="V23" s="32">
        <f>+COUNTIFS('[1]BD Asistencia'!$E:$E,"A",'[1]BD Asistencia'!$C:$C,'Planilla Mensual'!$D23,'[1]BD Asistencia'!$D:$D,"&gt;="&amp;'Planilla Mensual'!M23,'[1]BD Asistencia'!$D:$D,"&lt;="&amp;'Planilla Mensual'!N23)-S23</f>
        <v>0</v>
      </c>
      <c r="W23" s="32">
        <f>+COUNTIFS('[1]BD Asistencia'!$E:$E,"V",'[1]BD Asistencia'!$C:$C,'Planilla Mensual'!$D23,'[1]BD Asistencia'!$D:$D,"&gt;="&amp;'Planilla Mensual'!M23,'[1]BD Asistencia'!$D:$D,"&lt;="&amp;'Planilla Mensual'!N23)</f>
        <v>0</v>
      </c>
      <c r="X23" s="32">
        <f>+COUNTIFS('[1]BD Asistencia'!$E:$E,"DR",'[1]BD Asistencia'!$C:$C,'Planilla Mensual'!$D23,'[1]BD Asistencia'!$D:$D,"&gt;="&amp;'Planilla Mensual'!M23,'[1]BD Asistencia'!$D:$D,"&lt;="&amp;'Planilla Mensual'!N23)-T23</f>
        <v>0</v>
      </c>
      <c r="Y23" s="32">
        <f>+COUNTIFS('[1]BD Asistencia'!$E:$E,"h",'[1]BD Asistencia'!$C:$C,'Planilla Mensual'!$D23,'[1]BD Asistencia'!$D:$D,"&gt;="&amp;'Planilla Mensual'!M23,'[1]BD Asistencia'!$D:$D,"&lt;="&amp;'Planilla Mensual'!N23)</f>
        <v>0</v>
      </c>
      <c r="Z23" s="32">
        <f>+COUNTIFS('[1]BD Asistencia'!$E:$E,"h/A",'[1]BD Asistencia'!$C:$C,'Planilla Mensual'!$D23,'[1]BD Asistencia'!$D:$D,"&gt;="&amp;'Planilla Mensual'!M23,'[1]BD Asistencia'!$D:$D,"&lt;="&amp;'Planilla Mensual'!N23)</f>
        <v>0</v>
      </c>
      <c r="AA23" s="32" t="e">
        <f>+COUNTIFS('[1]BD Asistencia'!$H:$H,"NO REMUNERADO",'[1]BD Asistencia'!$C:$C,'Planilla Mensual'!$D23,'[1]BD Asistencia'!$D:$D,"&gt;="&amp;'Planilla Mensual'!M23,'[1]BD Asistencia'!$D:$D,"&lt;="&amp;'Planilla Mensual'!N23)-U23</f>
        <v>#VALUE!</v>
      </c>
      <c r="AB23" s="32">
        <f>+COUNTIFS('[1]BD Asistencia'!$E:$E,"F",'[1]BD Asistencia'!$C:$C,'Planilla Mensual'!$D23,'[1]BD Asistencia'!$D:$D,"&gt;="&amp;'Planilla Mensual'!M23,'[1]BD Asistencia'!$D:$D,"&lt;="&amp;'Planilla Mensual'!N23)</f>
        <v>0</v>
      </c>
      <c r="AC23" s="32" t="e">
        <f t="shared" si="18"/>
        <v>#VALUE!</v>
      </c>
      <c r="AD23" s="32">
        <v>1</v>
      </c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>
        <f t="shared" si="20"/>
        <v>0</v>
      </c>
      <c r="AU23" s="33">
        <f t="shared" si="13"/>
        <v>0</v>
      </c>
      <c r="AV23" s="33">
        <f t="shared" si="21"/>
        <v>0</v>
      </c>
      <c r="AW23" s="33"/>
      <c r="AX23" s="33">
        <f t="shared" si="22"/>
        <v>0</v>
      </c>
      <c r="AY23" s="35"/>
      <c r="AZ23" s="35"/>
      <c r="BB23" s="33"/>
      <c r="BC23" s="33"/>
      <c r="BD23" s="33">
        <f t="shared" si="26"/>
        <v>200</v>
      </c>
      <c r="BE23" s="33"/>
      <c r="BF23" s="33">
        <f t="shared" si="29"/>
        <v>10</v>
      </c>
      <c r="BG23" s="33">
        <v>210</v>
      </c>
      <c r="BH23" s="33">
        <f t="shared" si="8"/>
        <v>210</v>
      </c>
      <c r="BI23" s="33">
        <f t="shared" si="9"/>
        <v>0</v>
      </c>
      <c r="BJ23" s="33">
        <f t="shared" si="16"/>
        <v>210</v>
      </c>
    </row>
    <row r="24" spans="1:67" x14ac:dyDescent="0.3">
      <c r="A24">
        <v>18</v>
      </c>
      <c r="B24" s="30" t="s">
        <v>141</v>
      </c>
      <c r="C24" s="30">
        <v>75460380</v>
      </c>
      <c r="D24" s="30" t="s">
        <v>151</v>
      </c>
      <c r="E24" s="31">
        <v>37038</v>
      </c>
      <c r="F24" s="30"/>
      <c r="G24" s="30"/>
      <c r="H24" s="30"/>
      <c r="I24" s="30" t="s">
        <v>71</v>
      </c>
      <c r="J24" s="30" t="s">
        <v>152</v>
      </c>
      <c r="K24" s="30"/>
      <c r="L24" s="38">
        <v>46204</v>
      </c>
      <c r="M24" s="31">
        <v>46143</v>
      </c>
      <c r="N24" s="31">
        <v>46173</v>
      </c>
      <c r="O24" s="31" t="str">
        <f t="shared" si="17"/>
        <v>Mayo - 20265</v>
      </c>
      <c r="P24" s="32" t="s">
        <v>81</v>
      </c>
      <c r="Q24" s="33"/>
      <c r="R24" s="33">
        <v>80</v>
      </c>
      <c r="S24" s="32">
        <f>+COUNTIFS('[1]BD Asistencia'!$E:$E,"A",'[1]BD Asistencia'!$C:$C,'Planilla Mensual'!$D24,'[1]BD Asistencia'!$D:$D,"&lt;"&amp;'Planilla Mensual'!L24)</f>
        <v>29</v>
      </c>
      <c r="T24" s="32">
        <f>+COUNTIFS('[1]BD Asistencia'!$E:$E,"DR",'[1]BD Asistencia'!$C:$C,'Planilla Mensual'!$D24,'[1]BD Asistencia'!$D:$D,"&lt;"&amp;L24)</f>
        <v>1</v>
      </c>
      <c r="U24" s="32" t="e">
        <f>+COUNTIFS('[1]BD Asistencia'!$H:$H,"NO REMUNERADO",'[1]BD Asistencia'!$C:$C,'Planilla Mensual'!$D24,'[1]BD Asistencia'!$D:$D,"&lt;"&amp;L24)</f>
        <v>#VALUE!</v>
      </c>
      <c r="V24" s="32">
        <f>+COUNTIFS('[1]BD Asistencia'!$E:$E,"A",'[1]BD Asistencia'!$C:$C,'Planilla Mensual'!$D24,'[1]BD Asistencia'!$D:$D,"&gt;="&amp;'Planilla Mensual'!M24,'[1]BD Asistencia'!$D:$D,"&lt;="&amp;'Planilla Mensual'!N24)-S24</f>
        <v>0</v>
      </c>
      <c r="W24" s="32">
        <f>+COUNTIFS('[1]BD Asistencia'!$E:$E,"V",'[1]BD Asistencia'!$C:$C,'Planilla Mensual'!$D24,'[1]BD Asistencia'!$D:$D,"&gt;="&amp;'Planilla Mensual'!M24,'[1]BD Asistencia'!$D:$D,"&lt;="&amp;'Planilla Mensual'!N24)</f>
        <v>0</v>
      </c>
      <c r="X24" s="32">
        <f>+COUNTIFS('[1]BD Asistencia'!$E:$E,"DR",'[1]BD Asistencia'!$C:$C,'Planilla Mensual'!$D24,'[1]BD Asistencia'!$D:$D,"&gt;="&amp;'Planilla Mensual'!M24,'[1]BD Asistencia'!$D:$D,"&lt;="&amp;'Planilla Mensual'!N24)-T24</f>
        <v>0</v>
      </c>
      <c r="Y24" s="32">
        <f>+COUNTIFS('[1]BD Asistencia'!$E:$E,"h",'[1]BD Asistencia'!$C:$C,'Planilla Mensual'!$D24,'[1]BD Asistencia'!$D:$D,"&gt;="&amp;'Planilla Mensual'!M24,'[1]BD Asistencia'!$D:$D,"&lt;="&amp;'Planilla Mensual'!N24)</f>
        <v>0</v>
      </c>
      <c r="Z24" s="32">
        <f>+COUNTIFS('[1]BD Asistencia'!$E:$E,"h/A",'[1]BD Asistencia'!$C:$C,'Planilla Mensual'!$D24,'[1]BD Asistencia'!$D:$D,"&gt;="&amp;'Planilla Mensual'!M24,'[1]BD Asistencia'!$D:$D,"&lt;="&amp;'Planilla Mensual'!N24)</f>
        <v>0</v>
      </c>
      <c r="AA24" s="32" t="e">
        <f>+COUNTIFS('[1]BD Asistencia'!$H:$H,"NO REMUNERADO",'[1]BD Asistencia'!$C:$C,'Planilla Mensual'!$D24,'[1]BD Asistencia'!$D:$D,"&gt;="&amp;'Planilla Mensual'!M24,'[1]BD Asistencia'!$D:$D,"&lt;="&amp;'Planilla Mensual'!N24)-U24</f>
        <v>#VALUE!</v>
      </c>
      <c r="AB24" s="32">
        <f>+COUNTIFS('[1]BD Asistencia'!$E:$E,"F",'[1]BD Asistencia'!$C:$C,'Planilla Mensual'!$D24,'[1]BD Asistencia'!$D:$D,"&gt;="&amp;'Planilla Mensual'!M24,'[1]BD Asistencia'!$D:$D,"&lt;="&amp;'Planilla Mensual'!N24)</f>
        <v>0</v>
      </c>
      <c r="AC24" s="32" t="e">
        <f t="shared" si="18"/>
        <v>#VALUE!</v>
      </c>
      <c r="AD24" s="32">
        <v>15</v>
      </c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>
        <f t="shared" si="20"/>
        <v>0</v>
      </c>
      <c r="AU24" s="33">
        <f t="shared" si="13"/>
        <v>0</v>
      </c>
      <c r="AV24" s="33">
        <f t="shared" si="21"/>
        <v>0</v>
      </c>
      <c r="AW24" s="33"/>
      <c r="AX24" s="33">
        <f t="shared" si="22"/>
        <v>0</v>
      </c>
      <c r="AY24" s="33"/>
      <c r="AZ24" s="33"/>
      <c r="BB24" s="33"/>
      <c r="BC24" s="33"/>
      <c r="BD24" s="33">
        <f t="shared" si="26"/>
        <v>2400</v>
      </c>
      <c r="BE24" s="33"/>
      <c r="BF24" s="33">
        <f t="shared" si="29"/>
        <v>270</v>
      </c>
      <c r="BG24" s="33">
        <v>1200</v>
      </c>
      <c r="BH24" s="33">
        <f t="shared" si="8"/>
        <v>1200</v>
      </c>
      <c r="BI24" s="33">
        <f t="shared" si="9"/>
        <v>1470</v>
      </c>
      <c r="BJ24" s="33">
        <f t="shared" si="16"/>
        <v>2670</v>
      </c>
    </row>
    <row r="25" spans="1:67" x14ac:dyDescent="0.3">
      <c r="A25">
        <v>18</v>
      </c>
      <c r="B25" s="30" t="s">
        <v>141</v>
      </c>
      <c r="C25" s="30">
        <v>74658514</v>
      </c>
      <c r="D25" s="30" t="s">
        <v>153</v>
      </c>
      <c r="E25" s="31">
        <v>37418</v>
      </c>
      <c r="F25" s="30"/>
      <c r="G25" s="30"/>
      <c r="H25" s="30"/>
      <c r="I25" s="30" t="s">
        <v>149</v>
      </c>
      <c r="J25" s="30" t="s">
        <v>154</v>
      </c>
      <c r="K25" s="30"/>
      <c r="L25" s="38">
        <v>46204</v>
      </c>
      <c r="M25" s="31">
        <v>46143</v>
      </c>
      <c r="N25" s="31">
        <v>46173</v>
      </c>
      <c r="O25" s="31" t="str">
        <f t="shared" si="17"/>
        <v>Mayo - 20265</v>
      </c>
      <c r="P25" s="32" t="s">
        <v>81</v>
      </c>
      <c r="Q25" s="33"/>
      <c r="R25" s="33">
        <v>80</v>
      </c>
      <c r="S25" s="32">
        <f>+COUNTIFS('[1]BD Asistencia'!$E:$E,"A",'[1]BD Asistencia'!$C:$C,'Planilla Mensual'!$D25,'[1]BD Asistencia'!$D:$D,"&lt;"&amp;'Planilla Mensual'!L25)</f>
        <v>24</v>
      </c>
      <c r="T25" s="32">
        <f>+COUNTIFS('[1]BD Asistencia'!$E:$E,"DR",'[1]BD Asistencia'!$C:$C,'Planilla Mensual'!$D25,'[1]BD Asistencia'!$D:$D,"&lt;"&amp;L25)</f>
        <v>5</v>
      </c>
      <c r="U25" s="32" t="e">
        <f>+COUNTIFS('[1]BD Asistencia'!$H:$H,"NO REMUNERADO",'[1]BD Asistencia'!$C:$C,'Planilla Mensual'!$D25,'[1]BD Asistencia'!$D:$D,"&lt;"&amp;L25)</f>
        <v>#VALUE!</v>
      </c>
      <c r="V25" s="32">
        <f>+COUNTIFS('[1]BD Asistencia'!$E:$E,"A",'[1]BD Asistencia'!$C:$C,'Planilla Mensual'!$D25,'[1]BD Asistencia'!$D:$D,"&gt;="&amp;'Planilla Mensual'!M25,'[1]BD Asistencia'!$D:$D,"&lt;="&amp;'Planilla Mensual'!N25)-S25</f>
        <v>0</v>
      </c>
      <c r="W25" s="32">
        <f>+COUNTIFS('[1]BD Asistencia'!$E:$E,"V",'[1]BD Asistencia'!$C:$C,'Planilla Mensual'!$D25,'[1]BD Asistencia'!$D:$D,"&gt;="&amp;'Planilla Mensual'!M25,'[1]BD Asistencia'!$D:$D,"&lt;="&amp;'Planilla Mensual'!N25)</f>
        <v>0</v>
      </c>
      <c r="X25" s="32">
        <f>+COUNTIFS('[1]BD Asistencia'!$E:$E,"DR",'[1]BD Asistencia'!$C:$C,'Planilla Mensual'!$D25,'[1]BD Asistencia'!$D:$D,"&gt;="&amp;'Planilla Mensual'!M25,'[1]BD Asistencia'!$D:$D,"&lt;="&amp;'Planilla Mensual'!N25)-T25</f>
        <v>0</v>
      </c>
      <c r="Y25" s="32">
        <f>+COUNTIFS('[1]BD Asistencia'!$E:$E,"h",'[1]BD Asistencia'!$C:$C,'Planilla Mensual'!$D25,'[1]BD Asistencia'!$D:$D,"&gt;="&amp;'Planilla Mensual'!M25,'[1]BD Asistencia'!$D:$D,"&lt;="&amp;'Planilla Mensual'!N25)</f>
        <v>0</v>
      </c>
      <c r="Z25" s="32">
        <f>+COUNTIFS('[1]BD Asistencia'!$E:$E,"h/A",'[1]BD Asistencia'!$C:$C,'Planilla Mensual'!$D25,'[1]BD Asistencia'!$D:$D,"&gt;="&amp;'Planilla Mensual'!M25,'[1]BD Asistencia'!$D:$D,"&lt;="&amp;'Planilla Mensual'!N25)</f>
        <v>0</v>
      </c>
      <c r="AA25" s="32" t="e">
        <f>+COUNTIFS('[1]BD Asistencia'!$H:$H,"NO REMUNERADO",'[1]BD Asistencia'!$C:$C,'Planilla Mensual'!$D25,'[1]BD Asistencia'!$D:$D,"&gt;="&amp;'Planilla Mensual'!M25,'[1]BD Asistencia'!$D:$D,"&lt;="&amp;'Planilla Mensual'!N25)-U25</f>
        <v>#VALUE!</v>
      </c>
      <c r="AB25" s="32">
        <f>+COUNTIFS('[1]BD Asistencia'!$E:$E,"F",'[1]BD Asistencia'!$C:$C,'Planilla Mensual'!$D25,'[1]BD Asistencia'!$D:$D,"&gt;="&amp;'Planilla Mensual'!M25,'[1]BD Asistencia'!$D:$D,"&lt;="&amp;'Planilla Mensual'!N25)</f>
        <v>0</v>
      </c>
      <c r="AC25" s="32" t="e">
        <f t="shared" si="18"/>
        <v>#VALUE!</v>
      </c>
      <c r="AD25" s="32">
        <v>5.5</v>
      </c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>
        <f t="shared" si="20"/>
        <v>0</v>
      </c>
      <c r="AU25" s="33">
        <f t="shared" si="13"/>
        <v>0</v>
      </c>
      <c r="AV25" s="33">
        <f t="shared" si="21"/>
        <v>0</v>
      </c>
      <c r="AW25" s="33"/>
      <c r="AX25" s="33">
        <f t="shared" si="22"/>
        <v>0</v>
      </c>
      <c r="AY25" s="35"/>
      <c r="AZ25" s="35"/>
      <c r="BB25" s="33"/>
      <c r="BC25" s="33"/>
      <c r="BD25" s="33">
        <f t="shared" si="26"/>
        <v>2320</v>
      </c>
      <c r="BE25" s="33"/>
      <c r="BF25" s="33">
        <f t="shared" si="29"/>
        <v>99</v>
      </c>
      <c r="BG25" s="33">
        <v>1200</v>
      </c>
      <c r="BH25" s="33">
        <f t="shared" si="8"/>
        <v>1200</v>
      </c>
      <c r="BI25" s="33">
        <f t="shared" si="9"/>
        <v>1219</v>
      </c>
      <c r="BJ25" s="33">
        <f t="shared" si="16"/>
        <v>2419</v>
      </c>
      <c r="BK25" s="13" t="s">
        <v>155</v>
      </c>
    </row>
    <row r="26" spans="1:67" x14ac:dyDescent="0.3">
      <c r="A26">
        <v>18</v>
      </c>
      <c r="B26" s="30" t="s">
        <v>141</v>
      </c>
      <c r="C26" s="30">
        <v>71622939</v>
      </c>
      <c r="D26" s="30" t="s">
        <v>156</v>
      </c>
      <c r="E26" s="31">
        <v>34245</v>
      </c>
      <c r="F26" s="30"/>
      <c r="G26" s="30"/>
      <c r="H26" s="30"/>
      <c r="I26" s="30" t="s">
        <v>149</v>
      </c>
      <c r="J26" s="37" t="s">
        <v>157</v>
      </c>
      <c r="K26" s="37"/>
      <c r="L26" s="38">
        <v>46204</v>
      </c>
      <c r="M26" s="31">
        <v>46158</v>
      </c>
      <c r="N26" s="31">
        <v>46173</v>
      </c>
      <c r="O26" s="31" t="str">
        <f t="shared" si="17"/>
        <v>Mayo - 20265</v>
      </c>
      <c r="P26" s="32" t="s">
        <v>73</v>
      </c>
      <c r="Q26" s="33"/>
      <c r="R26" s="33">
        <v>80</v>
      </c>
      <c r="S26" s="32">
        <f>+COUNTIFS('[1]BD Asistencia'!$E:$E,"A",'[1]BD Asistencia'!$C:$C,'Planilla Mensual'!$D26,'[1]BD Asistencia'!$D:$D,"&lt;"&amp;'Planilla Mensual'!L26)</f>
        <v>16</v>
      </c>
      <c r="T26" s="32">
        <f>+COUNTIFS('[1]BD Asistencia'!$E:$E,"DR",'[1]BD Asistencia'!$C:$C,'Planilla Mensual'!$D26,'[1]BD Asistencia'!$D:$D,"&lt;"&amp;L26)</f>
        <v>0</v>
      </c>
      <c r="U26" s="32" t="e">
        <f>+COUNTIFS('[1]BD Asistencia'!$H:$H,"NO REMUNERADO",'[1]BD Asistencia'!$C:$C,'Planilla Mensual'!$D26,'[1]BD Asistencia'!$D:$D,"&lt;"&amp;L26)</f>
        <v>#VALUE!</v>
      </c>
      <c r="V26" s="32">
        <f>+COUNTIFS('[1]BD Asistencia'!$E:$E,"A",'[1]BD Asistencia'!$C:$C,'Planilla Mensual'!$D26,'[1]BD Asistencia'!$D:$D,"&gt;="&amp;'Planilla Mensual'!M26,'[1]BD Asistencia'!$D:$D,"&lt;="&amp;'Planilla Mensual'!N26)-S26</f>
        <v>0</v>
      </c>
      <c r="W26" s="32">
        <f>+COUNTIFS('[1]BD Asistencia'!$E:$E,"V",'[1]BD Asistencia'!$C:$C,'Planilla Mensual'!$D26,'[1]BD Asistencia'!$D:$D,"&gt;="&amp;'Planilla Mensual'!M26,'[1]BD Asistencia'!$D:$D,"&lt;="&amp;'Planilla Mensual'!N26)</f>
        <v>0</v>
      </c>
      <c r="X26" s="32">
        <f>+COUNTIFS('[1]BD Asistencia'!$E:$E,"DR",'[1]BD Asistencia'!$C:$C,'Planilla Mensual'!$D26,'[1]BD Asistencia'!$D:$D,"&gt;="&amp;'Planilla Mensual'!M26,'[1]BD Asistencia'!$D:$D,"&lt;="&amp;'Planilla Mensual'!N26)-T26</f>
        <v>0</v>
      </c>
      <c r="Y26" s="32">
        <f>+COUNTIFS('[1]BD Asistencia'!$E:$E,"h",'[1]BD Asistencia'!$C:$C,'Planilla Mensual'!$D26,'[1]BD Asistencia'!$D:$D,"&gt;="&amp;'Planilla Mensual'!M26,'[1]BD Asistencia'!$D:$D,"&lt;="&amp;'Planilla Mensual'!N26)</f>
        <v>0</v>
      </c>
      <c r="Z26" s="32">
        <f>+COUNTIFS('[1]BD Asistencia'!$E:$E,"h/A",'[1]BD Asistencia'!$C:$C,'Planilla Mensual'!$D26,'[1]BD Asistencia'!$D:$D,"&gt;="&amp;'Planilla Mensual'!M26,'[1]BD Asistencia'!$D:$D,"&lt;="&amp;'Planilla Mensual'!N26)</f>
        <v>0</v>
      </c>
      <c r="AA26" s="32" t="e">
        <f>+COUNTIFS('[1]BD Asistencia'!$H:$H,"NO REMUNERADO",'[1]BD Asistencia'!$C:$C,'Planilla Mensual'!$D26,'[1]BD Asistencia'!$D:$D,"&gt;="&amp;'Planilla Mensual'!M26,'[1]BD Asistencia'!$D:$D,"&lt;="&amp;'Planilla Mensual'!N26)-U26</f>
        <v>#VALUE!</v>
      </c>
      <c r="AB26" s="32">
        <f>+COUNTIFS('[1]BD Asistencia'!$E:$E,"F",'[1]BD Asistencia'!$C:$C,'Planilla Mensual'!$D26,'[1]BD Asistencia'!$D:$D,"&gt;="&amp;'Planilla Mensual'!M26,'[1]BD Asistencia'!$D:$D,"&lt;="&amp;'Planilla Mensual'!N26)</f>
        <v>0</v>
      </c>
      <c r="AC26" s="32" t="e">
        <f t="shared" si="18"/>
        <v>#VALUE!</v>
      </c>
      <c r="AD26" s="32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>
        <v>76</v>
      </c>
      <c r="AR26" s="33"/>
      <c r="AS26" s="33"/>
      <c r="AT26" s="33">
        <f t="shared" ref="AT26" si="30">+SUM(AM26:AS26)</f>
        <v>76</v>
      </c>
      <c r="AU26" s="33">
        <f t="shared" ref="AU26" si="31">AJ26-SUM(AM26:AS26)</f>
        <v>-76</v>
      </c>
      <c r="AV26" s="33">
        <f t="shared" si="21"/>
        <v>0</v>
      </c>
      <c r="AW26" s="33"/>
      <c r="AX26" s="33">
        <f t="shared" si="22"/>
        <v>-76</v>
      </c>
      <c r="AY26" s="35"/>
      <c r="AZ26" s="35"/>
      <c r="BB26" s="33"/>
      <c r="BC26" s="33"/>
      <c r="BD26" s="33">
        <f>+R26*S26</f>
        <v>1280</v>
      </c>
      <c r="BE26" s="33"/>
      <c r="BF26" s="33">
        <f t="shared" si="29"/>
        <v>0</v>
      </c>
      <c r="BG26" s="33"/>
      <c r="BH26" s="33">
        <f t="shared" si="8"/>
        <v>0</v>
      </c>
      <c r="BI26" s="33">
        <f t="shared" si="9"/>
        <v>1204</v>
      </c>
      <c r="BJ26" s="33">
        <f t="shared" si="16"/>
        <v>1280</v>
      </c>
      <c r="BK26" s="13" t="s">
        <v>155</v>
      </c>
    </row>
    <row r="27" spans="1:67" x14ac:dyDescent="0.3">
      <c r="A27">
        <v>10</v>
      </c>
      <c r="B27" s="30" t="s">
        <v>158</v>
      </c>
      <c r="C27" s="30">
        <v>71622939</v>
      </c>
      <c r="D27" s="30" t="s">
        <v>159</v>
      </c>
      <c r="E27" s="31">
        <v>36785</v>
      </c>
      <c r="F27" s="30"/>
      <c r="G27" s="30"/>
      <c r="H27" s="30"/>
      <c r="I27" s="30" t="s">
        <v>160</v>
      </c>
      <c r="J27" s="30" t="s">
        <v>161</v>
      </c>
      <c r="K27" s="37" t="s">
        <v>162</v>
      </c>
      <c r="L27" s="38">
        <v>46204</v>
      </c>
      <c r="M27" s="31">
        <v>46143</v>
      </c>
      <c r="N27" s="31">
        <v>46173</v>
      </c>
      <c r="O27" s="31" t="str">
        <f t="shared" si="17"/>
        <v>Mayo - 20265</v>
      </c>
      <c r="P27" s="32" t="s">
        <v>81</v>
      </c>
      <c r="Q27" s="33"/>
      <c r="R27" s="33">
        <v>105</v>
      </c>
      <c r="S27" s="32">
        <f>+COUNTIFS('[1]BD Asistencia'!$E:$E,"A",'[1]BD Asistencia'!$C:$C,'Planilla Mensual'!$D27,'[1]BD Asistencia'!$D:$D,"&lt;"&amp;'Planilla Mensual'!L27)</f>
        <v>25</v>
      </c>
      <c r="T27" s="32">
        <f>+COUNTIFS('[1]BD Asistencia'!$E:$E,"DR",'[1]BD Asistencia'!$C:$C,'Planilla Mensual'!$D27,'[1]BD Asistencia'!$D:$D,"&lt;"&amp;L27)</f>
        <v>4</v>
      </c>
      <c r="U27" s="32" t="e">
        <f>+COUNTIFS('[1]BD Asistencia'!$H:$H,"NO REMUNERADO",'[1]BD Asistencia'!$C:$C,'Planilla Mensual'!$D27,'[1]BD Asistencia'!$D:$D,"&lt;"&amp;L27)</f>
        <v>#VALUE!</v>
      </c>
      <c r="V27" s="32">
        <f>+COUNTIFS('[1]BD Asistencia'!$E:$E,"A",'[1]BD Asistencia'!$C:$C,'Planilla Mensual'!$D27,'[1]BD Asistencia'!$D:$D,"&gt;="&amp;'Planilla Mensual'!M27,'[1]BD Asistencia'!$D:$D,"&lt;="&amp;'Planilla Mensual'!N27)-S27</f>
        <v>0</v>
      </c>
      <c r="W27" s="32">
        <f>+COUNTIFS('[1]BD Asistencia'!$E:$E,"V",'[1]BD Asistencia'!$C:$C,'Planilla Mensual'!$D27,'[1]BD Asistencia'!$D:$D,"&gt;="&amp;'Planilla Mensual'!M27,'[1]BD Asistencia'!$D:$D,"&lt;="&amp;'Planilla Mensual'!N27)</f>
        <v>0</v>
      </c>
      <c r="X27" s="32">
        <f>+COUNTIFS('[1]BD Asistencia'!$E:$E,"DR",'[1]BD Asistencia'!$C:$C,'Planilla Mensual'!$D27,'[1]BD Asistencia'!$D:$D,"&gt;="&amp;'Planilla Mensual'!M27,'[1]BD Asistencia'!$D:$D,"&lt;="&amp;'Planilla Mensual'!N27)-T27</f>
        <v>0</v>
      </c>
      <c r="Y27" s="32">
        <f>+COUNTIFS('[1]BD Asistencia'!$E:$E,"h",'[1]BD Asistencia'!$C:$C,'Planilla Mensual'!$D27,'[1]BD Asistencia'!$D:$D,"&gt;="&amp;'Planilla Mensual'!M27,'[1]BD Asistencia'!$D:$D,"&lt;="&amp;'Planilla Mensual'!N27)</f>
        <v>0</v>
      </c>
      <c r="Z27" s="32">
        <f>+COUNTIFS('[1]BD Asistencia'!$E:$E,"h/A",'[1]BD Asistencia'!$C:$C,'Planilla Mensual'!$D27,'[1]BD Asistencia'!$D:$D,"&gt;="&amp;'Planilla Mensual'!M27,'[1]BD Asistencia'!$D:$D,"&lt;="&amp;'Planilla Mensual'!N27)</f>
        <v>0</v>
      </c>
      <c r="AA27" s="32" t="e">
        <f>+COUNTIFS('[1]BD Asistencia'!$H:$H,"NO REMUNERADO",'[1]BD Asistencia'!$C:$C,'Planilla Mensual'!$D27,'[1]BD Asistencia'!$D:$D,"&gt;="&amp;'Planilla Mensual'!M27,'[1]BD Asistencia'!$D:$D,"&lt;="&amp;'Planilla Mensual'!N27)-U27</f>
        <v>#VALUE!</v>
      </c>
      <c r="AB27" s="32">
        <f>+COUNTIFS('[1]BD Asistencia'!$E:$E,"F",'[1]BD Asistencia'!$C:$C,'Planilla Mensual'!$D27,'[1]BD Asistencia'!$D:$D,"&gt;="&amp;'Planilla Mensual'!M27,'[1]BD Asistencia'!$D:$D,"&lt;="&amp;'Planilla Mensual'!N27)</f>
        <v>0</v>
      </c>
      <c r="AC27" s="32" t="e">
        <f t="shared" si="18"/>
        <v>#VALUE!</v>
      </c>
      <c r="AD27" s="32">
        <v>7</v>
      </c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>
        <f t="shared" si="20"/>
        <v>0</v>
      </c>
      <c r="AU27" s="33">
        <f t="shared" si="13"/>
        <v>0</v>
      </c>
      <c r="AV27" s="33">
        <f t="shared" si="21"/>
        <v>0</v>
      </c>
      <c r="AW27" s="33"/>
      <c r="AX27" s="33">
        <f t="shared" si="22"/>
        <v>0</v>
      </c>
      <c r="AY27" s="35"/>
      <c r="AZ27" s="35"/>
      <c r="BB27" s="33"/>
      <c r="BC27" s="33"/>
      <c r="BD27" s="33">
        <f>+R27*S27</f>
        <v>2625</v>
      </c>
      <c r="BE27" s="33"/>
      <c r="BF27" s="33">
        <f t="shared" si="29"/>
        <v>70</v>
      </c>
      <c r="BG27" s="33">
        <v>1305</v>
      </c>
      <c r="BH27" s="33">
        <f t="shared" si="8"/>
        <v>1305</v>
      </c>
      <c r="BI27" s="33">
        <f t="shared" si="9"/>
        <v>1390</v>
      </c>
      <c r="BJ27" s="33">
        <f t="shared" si="16"/>
        <v>2695</v>
      </c>
    </row>
    <row r="28" spans="1:67" x14ac:dyDescent="0.3">
      <c r="B28" s="30" t="s">
        <v>141</v>
      </c>
      <c r="C28" s="30">
        <v>74231869</v>
      </c>
      <c r="D28" s="30" t="s">
        <v>163</v>
      </c>
      <c r="E28" s="40">
        <v>35092</v>
      </c>
      <c r="F28" s="41"/>
      <c r="G28" s="41"/>
      <c r="H28" s="41"/>
      <c r="I28" s="41" t="s">
        <v>71</v>
      </c>
      <c r="J28" s="41"/>
      <c r="K28" s="41">
        <v>973497771</v>
      </c>
      <c r="L28" s="42">
        <v>46173</v>
      </c>
      <c r="M28" s="31">
        <v>46143</v>
      </c>
      <c r="N28" s="31">
        <v>46173</v>
      </c>
      <c r="O28" s="31" t="str">
        <f t="shared" si="17"/>
        <v>Mayo - 20265</v>
      </c>
      <c r="P28" s="32" t="s">
        <v>73</v>
      </c>
      <c r="Q28" s="33">
        <f>1425*2</f>
        <v>2850</v>
      </c>
      <c r="R28" s="33">
        <f>+Q28/30</f>
        <v>95</v>
      </c>
      <c r="S28" s="32">
        <f>+COUNTIFS('[1]BD Asistencia'!$E:$E,"A",'[1]BD Asistencia'!$C:$C,'Planilla Mensual'!$D28,'[1]BD Asistencia'!$D:$D,"&lt;"&amp;'Planilla Mensual'!L28)</f>
        <v>26</v>
      </c>
      <c r="T28" s="32">
        <f>+COUNTIFS('[1]BD Asistencia'!$E:$E,"DR",'[1]BD Asistencia'!$C:$C,'Planilla Mensual'!$D28,'[1]BD Asistencia'!$D:$D,"&lt;"&amp;L28)</f>
        <v>4</v>
      </c>
      <c r="U28" s="32" t="e">
        <f>+COUNTIFS('[1]BD Asistencia'!$H:$H,"NO REMUNERADO",'[1]BD Asistencia'!$C:$C,'Planilla Mensual'!$D28,'[1]BD Asistencia'!$D:$D,"&lt;"&amp;L28)</f>
        <v>#VALUE!</v>
      </c>
      <c r="V28" s="32">
        <f>+COUNTIFS('[1]BD Asistencia'!$E:$E,"A",'[1]BD Asistencia'!$C:$C,'Planilla Mensual'!$D28,'[1]BD Asistencia'!$D:$D,"&gt;="&amp;'Planilla Mensual'!M28,'[1]BD Asistencia'!$D:$D,"&lt;="&amp;'Planilla Mensual'!N28)-S28</f>
        <v>0</v>
      </c>
      <c r="W28" s="32">
        <f>+COUNTIFS('[1]BD Asistencia'!$E:$E,"V",'[1]BD Asistencia'!$C:$C,'Planilla Mensual'!$D28,'[1]BD Asistencia'!$D:$D,"&gt;="&amp;'Planilla Mensual'!M28,'[1]BD Asistencia'!$D:$D,"&lt;="&amp;'Planilla Mensual'!N28)</f>
        <v>0</v>
      </c>
      <c r="X28" s="32">
        <f>+COUNTIFS('[1]BD Asistencia'!$E:$E,"DR",'[1]BD Asistencia'!$C:$C,'Planilla Mensual'!$D28,'[1]BD Asistencia'!$D:$D,"&gt;="&amp;'Planilla Mensual'!M28,'[1]BD Asistencia'!$D:$D,"&lt;="&amp;'Planilla Mensual'!N28)-T28</f>
        <v>1</v>
      </c>
      <c r="Y28" s="32">
        <f>+COUNTIFS('[1]BD Asistencia'!$E:$E,"h",'[1]BD Asistencia'!$C:$C,'Planilla Mensual'!$D28,'[1]BD Asistencia'!$D:$D,"&gt;="&amp;'Planilla Mensual'!M28,'[1]BD Asistencia'!$D:$D,"&lt;="&amp;'Planilla Mensual'!N28)</f>
        <v>0</v>
      </c>
      <c r="Z28" s="32">
        <f>+COUNTIFS('[1]BD Asistencia'!$E:$E,"h/A",'[1]BD Asistencia'!$C:$C,'Planilla Mensual'!$D28,'[1]BD Asistencia'!$D:$D,"&gt;="&amp;'Planilla Mensual'!M28,'[1]BD Asistencia'!$D:$D,"&lt;="&amp;'Planilla Mensual'!N28)</f>
        <v>0</v>
      </c>
      <c r="AA28" s="32" t="e">
        <f>+COUNTIFS('[1]BD Asistencia'!$H:$H,"NO REMUNERADO",'[1]BD Asistencia'!$C:$C,'Planilla Mensual'!$D28,'[1]BD Asistencia'!$D:$D,"&gt;="&amp;'Planilla Mensual'!M28,'[1]BD Asistencia'!$D:$D,"&lt;="&amp;'Planilla Mensual'!N28)-U28</f>
        <v>#VALUE!</v>
      </c>
      <c r="AB28" s="32">
        <f>+COUNTIFS('[1]BD Asistencia'!$E:$E,"F",'[1]BD Asistencia'!$C:$C,'Planilla Mensual'!$D28,'[1]BD Asistencia'!$D:$D,"&gt;="&amp;'Planilla Mensual'!M28,'[1]BD Asistencia'!$D:$D,"&lt;="&amp;'Planilla Mensual'!N28)</f>
        <v>0</v>
      </c>
      <c r="AC28" s="32" t="e">
        <f t="shared" si="18"/>
        <v>#VALUE!</v>
      </c>
      <c r="AD28" s="32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>
        <v>300</v>
      </c>
      <c r="AR28" s="33"/>
      <c r="AS28" s="33"/>
      <c r="AT28" s="33">
        <f t="shared" si="20"/>
        <v>300</v>
      </c>
      <c r="AU28" s="33">
        <f t="shared" si="13"/>
        <v>-300</v>
      </c>
      <c r="AV28" s="33">
        <f t="shared" si="21"/>
        <v>0</v>
      </c>
      <c r="AW28" s="33"/>
      <c r="AX28" s="33">
        <f t="shared" si="22"/>
        <v>-300</v>
      </c>
      <c r="AY28" s="35"/>
      <c r="AZ28" s="35"/>
      <c r="BB28" s="33"/>
      <c r="BC28" s="33"/>
      <c r="BD28" s="33">
        <f t="shared" ref="BD28:BD37" si="32">+R28*(S28+T28)</f>
        <v>2850</v>
      </c>
      <c r="BE28" s="33"/>
      <c r="BF28" s="33"/>
      <c r="BG28" s="33">
        <v>1275</v>
      </c>
      <c r="BH28" s="33">
        <f t="shared" si="8"/>
        <v>1275</v>
      </c>
      <c r="BI28" s="33">
        <f t="shared" si="9"/>
        <v>1275</v>
      </c>
      <c r="BJ28" s="33">
        <f t="shared" si="16"/>
        <v>2850</v>
      </c>
    </row>
    <row r="29" spans="1:67" x14ac:dyDescent="0.3">
      <c r="B29" s="30" t="s">
        <v>141</v>
      </c>
      <c r="C29" s="30">
        <v>47738777</v>
      </c>
      <c r="D29" s="30" t="s">
        <v>164</v>
      </c>
      <c r="E29" s="31">
        <v>34092</v>
      </c>
      <c r="F29" s="30"/>
      <c r="G29" s="30"/>
      <c r="H29" s="30"/>
      <c r="I29" s="30" t="s">
        <v>71</v>
      </c>
      <c r="J29" s="30" t="s">
        <v>165</v>
      </c>
      <c r="K29" s="30"/>
      <c r="L29" s="38">
        <v>46173</v>
      </c>
      <c r="M29" s="31">
        <v>46143</v>
      </c>
      <c r="N29" s="31">
        <v>46173</v>
      </c>
      <c r="O29" s="31" t="str">
        <f t="shared" si="17"/>
        <v>Mayo - 20265</v>
      </c>
      <c r="P29" s="32" t="s">
        <v>73</v>
      </c>
      <c r="Q29" s="33">
        <v>3000</v>
      </c>
      <c r="R29" s="33">
        <f t="shared" ref="R29:R37" si="33">+Q29/30</f>
        <v>100</v>
      </c>
      <c r="S29" s="32">
        <f>+COUNTIFS('[1]BD Asistencia'!$E:$E,"A",'[1]BD Asistencia'!$C:$C,'Planilla Mensual'!$D29,'[1]BD Asistencia'!$D:$D,"&lt;"&amp;'Planilla Mensual'!L29)</f>
        <v>27</v>
      </c>
      <c r="T29" s="32">
        <f>+COUNTIFS('[1]BD Asistencia'!$E:$E,"DR",'[1]BD Asistencia'!$C:$C,'Planilla Mensual'!$D29,'[1]BD Asistencia'!$D:$D,"&lt;"&amp;L29)</f>
        <v>3</v>
      </c>
      <c r="U29" s="32" t="e">
        <f>+COUNTIFS('[1]BD Asistencia'!$H:$H,"NO REMUNERADO",'[1]BD Asistencia'!$C:$C,'Planilla Mensual'!$D29,'[1]BD Asistencia'!$D:$D,"&lt;"&amp;L29)</f>
        <v>#VALUE!</v>
      </c>
      <c r="V29" s="32">
        <f>+COUNTIFS('[1]BD Asistencia'!$E:$E,"A",'[1]BD Asistencia'!$C:$C,'Planilla Mensual'!$D29,'[1]BD Asistencia'!$D:$D,"&gt;="&amp;'Planilla Mensual'!M29,'[1]BD Asistencia'!$D:$D,"&lt;="&amp;'Planilla Mensual'!N29)-S29</f>
        <v>0</v>
      </c>
      <c r="W29" s="32">
        <f>+COUNTIFS('[1]BD Asistencia'!$E:$E,"V",'[1]BD Asistencia'!$C:$C,'Planilla Mensual'!$D29,'[1]BD Asistencia'!$D:$D,"&gt;="&amp;'Planilla Mensual'!M29,'[1]BD Asistencia'!$D:$D,"&lt;="&amp;'Planilla Mensual'!N29)</f>
        <v>0</v>
      </c>
      <c r="X29" s="32">
        <f>+COUNTIFS('[1]BD Asistencia'!$E:$E,"DR",'[1]BD Asistencia'!$C:$C,'Planilla Mensual'!$D29,'[1]BD Asistencia'!$D:$D,"&gt;="&amp;'Planilla Mensual'!M29,'[1]BD Asistencia'!$D:$D,"&lt;="&amp;'Planilla Mensual'!N29)-T29</f>
        <v>1</v>
      </c>
      <c r="Y29" s="32">
        <f>+COUNTIFS('[1]BD Asistencia'!$E:$E,"h",'[1]BD Asistencia'!$C:$C,'Planilla Mensual'!$D29,'[1]BD Asistencia'!$D:$D,"&gt;="&amp;'Planilla Mensual'!M29,'[1]BD Asistencia'!$D:$D,"&lt;="&amp;'Planilla Mensual'!N29)</f>
        <v>0</v>
      </c>
      <c r="Z29" s="32">
        <f>+COUNTIFS('[1]BD Asistencia'!$E:$E,"h/A",'[1]BD Asistencia'!$C:$C,'Planilla Mensual'!$D29,'[1]BD Asistencia'!$D:$D,"&gt;="&amp;'Planilla Mensual'!M29,'[1]BD Asistencia'!$D:$D,"&lt;="&amp;'Planilla Mensual'!N29)</f>
        <v>0</v>
      </c>
      <c r="AA29" s="32" t="e">
        <f>+COUNTIFS('[1]BD Asistencia'!$H:$H,"NO REMUNERADO",'[1]BD Asistencia'!$C:$C,'Planilla Mensual'!$D29,'[1]BD Asistencia'!$D:$D,"&gt;="&amp;'Planilla Mensual'!M29,'[1]BD Asistencia'!$D:$D,"&lt;="&amp;'Planilla Mensual'!N29)-U29</f>
        <v>#VALUE!</v>
      </c>
      <c r="AB29" s="32">
        <f>+COUNTIFS('[1]BD Asistencia'!$E:$E,"F",'[1]BD Asistencia'!$C:$C,'Planilla Mensual'!$D29,'[1]BD Asistencia'!$D:$D,"&gt;="&amp;'Planilla Mensual'!M29,'[1]BD Asistencia'!$D:$D,"&lt;="&amp;'Planilla Mensual'!N29)</f>
        <v>0</v>
      </c>
      <c r="AC29" s="32" t="e">
        <f t="shared" si="18"/>
        <v>#VALUE!</v>
      </c>
      <c r="AD29" s="32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>
        <v>300</v>
      </c>
      <c r="AS29" s="33"/>
      <c r="AT29" s="33">
        <f t="shared" si="20"/>
        <v>300</v>
      </c>
      <c r="AU29" s="33">
        <f t="shared" si="13"/>
        <v>-300</v>
      </c>
      <c r="AV29" s="33">
        <f t="shared" si="21"/>
        <v>0</v>
      </c>
      <c r="AW29" s="33"/>
      <c r="AX29" s="33">
        <f t="shared" si="22"/>
        <v>-300</v>
      </c>
      <c r="AY29" s="35"/>
      <c r="AZ29" s="35"/>
      <c r="BB29" s="33"/>
      <c r="BC29" s="33"/>
      <c r="BD29" s="33">
        <f t="shared" si="32"/>
        <v>3000</v>
      </c>
      <c r="BE29" s="33"/>
      <c r="BF29" s="33"/>
      <c r="BG29" s="33">
        <v>1500</v>
      </c>
      <c r="BH29" s="33">
        <f t="shared" si="8"/>
        <v>1500</v>
      </c>
      <c r="BI29" s="33">
        <f t="shared" si="9"/>
        <v>1200</v>
      </c>
      <c r="BJ29" s="33">
        <f t="shared" si="16"/>
        <v>3000</v>
      </c>
    </row>
    <row r="30" spans="1:67" x14ac:dyDescent="0.3">
      <c r="B30" s="30" t="s">
        <v>141</v>
      </c>
      <c r="C30" s="30">
        <v>42633744</v>
      </c>
      <c r="D30" s="30" t="s">
        <v>166</v>
      </c>
      <c r="E30" s="31">
        <v>29117</v>
      </c>
      <c r="F30" s="30"/>
      <c r="G30" s="30"/>
      <c r="H30" s="30"/>
      <c r="I30" s="30" t="s">
        <v>71</v>
      </c>
      <c r="J30" s="30" t="s">
        <v>167</v>
      </c>
      <c r="K30" s="30"/>
      <c r="L30" s="38">
        <v>46173</v>
      </c>
      <c r="M30" s="31">
        <v>46143</v>
      </c>
      <c r="N30" s="31">
        <v>46173</v>
      </c>
      <c r="O30" s="31" t="str">
        <f t="shared" si="17"/>
        <v>Mayo - 20265</v>
      </c>
      <c r="P30" s="32"/>
      <c r="Q30" s="33">
        <v>3000</v>
      </c>
      <c r="R30" s="33">
        <f t="shared" si="33"/>
        <v>100</v>
      </c>
      <c r="S30" s="32">
        <f>+COUNTIFS('[1]BD Asistencia'!$E:$E,"A",'[1]BD Asistencia'!$C:$C,'Planilla Mensual'!$D30,'[1]BD Asistencia'!$D:$D,"&lt;"&amp;'Planilla Mensual'!L30)</f>
        <v>27</v>
      </c>
      <c r="T30" s="32">
        <f>+COUNTIFS('[1]BD Asistencia'!$E:$E,"DR",'[1]BD Asistencia'!$C:$C,'Planilla Mensual'!$D30,'[1]BD Asistencia'!$D:$D,"&lt;"&amp;L30)</f>
        <v>3</v>
      </c>
      <c r="U30" s="32" t="e">
        <f>+COUNTIFS('[1]BD Asistencia'!$H:$H,"NO REMUNERADO",'[1]BD Asistencia'!$C:$C,'Planilla Mensual'!$D30,'[1]BD Asistencia'!$D:$D,"&lt;"&amp;L30)</f>
        <v>#VALUE!</v>
      </c>
      <c r="V30" s="32">
        <f>+COUNTIFS('[1]BD Asistencia'!$E:$E,"A",'[1]BD Asistencia'!$C:$C,'Planilla Mensual'!$D30,'[1]BD Asistencia'!$D:$D,"&gt;="&amp;'Planilla Mensual'!M30,'[1]BD Asistencia'!$D:$D,"&lt;="&amp;'Planilla Mensual'!N30)-S30</f>
        <v>0</v>
      </c>
      <c r="W30" s="32">
        <f>+COUNTIFS('[1]BD Asistencia'!$E:$E,"V",'[1]BD Asistencia'!$C:$C,'Planilla Mensual'!$D30,'[1]BD Asistencia'!$D:$D,"&gt;="&amp;'Planilla Mensual'!M30,'[1]BD Asistencia'!$D:$D,"&lt;="&amp;'Planilla Mensual'!N30)</f>
        <v>0</v>
      </c>
      <c r="X30" s="32">
        <f>+COUNTIFS('[1]BD Asistencia'!$E:$E,"DR",'[1]BD Asistencia'!$C:$C,'Planilla Mensual'!$D30,'[1]BD Asistencia'!$D:$D,"&gt;="&amp;'Planilla Mensual'!M30,'[1]BD Asistencia'!$D:$D,"&lt;="&amp;'Planilla Mensual'!N30)-T30</f>
        <v>1</v>
      </c>
      <c r="Y30" s="32">
        <f>+COUNTIFS('[1]BD Asistencia'!$E:$E,"h",'[1]BD Asistencia'!$C:$C,'Planilla Mensual'!$D30,'[1]BD Asistencia'!$D:$D,"&gt;="&amp;'Planilla Mensual'!M30,'[1]BD Asistencia'!$D:$D,"&lt;="&amp;'Planilla Mensual'!N30)</f>
        <v>0</v>
      </c>
      <c r="Z30" s="32">
        <f>+COUNTIFS('[1]BD Asistencia'!$E:$E,"h/A",'[1]BD Asistencia'!$C:$C,'Planilla Mensual'!$D30,'[1]BD Asistencia'!$D:$D,"&gt;="&amp;'Planilla Mensual'!M30,'[1]BD Asistencia'!$D:$D,"&lt;="&amp;'Planilla Mensual'!N30)</f>
        <v>0</v>
      </c>
      <c r="AA30" s="32" t="e">
        <f>+COUNTIFS('[1]BD Asistencia'!$H:$H,"NO REMUNERADO",'[1]BD Asistencia'!$C:$C,'Planilla Mensual'!$D30,'[1]BD Asistencia'!$D:$D,"&gt;="&amp;'Planilla Mensual'!M30,'[1]BD Asistencia'!$D:$D,"&lt;="&amp;'Planilla Mensual'!N30)-U30</f>
        <v>#VALUE!</v>
      </c>
      <c r="AB30" s="32">
        <f>+COUNTIFS('[1]BD Asistencia'!$E:$E,"F",'[1]BD Asistencia'!$C:$C,'Planilla Mensual'!$D30,'[1]BD Asistencia'!$D:$D,"&gt;="&amp;'Planilla Mensual'!M30,'[1]BD Asistencia'!$D:$D,"&lt;="&amp;'Planilla Mensual'!N30)</f>
        <v>0</v>
      </c>
      <c r="AC30" s="32" t="e">
        <f t="shared" si="18"/>
        <v>#VALUE!</v>
      </c>
      <c r="AD30" s="32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>
        <v>450</v>
      </c>
      <c r="AS30" s="33"/>
      <c r="AT30" s="33">
        <f t="shared" si="20"/>
        <v>450</v>
      </c>
      <c r="AU30" s="33">
        <f t="shared" si="13"/>
        <v>-450</v>
      </c>
      <c r="AV30" s="33">
        <f t="shared" si="21"/>
        <v>0</v>
      </c>
      <c r="AW30" s="33"/>
      <c r="AX30" s="33">
        <f t="shared" si="22"/>
        <v>-450</v>
      </c>
      <c r="AY30" s="35"/>
      <c r="AZ30" s="35"/>
      <c r="BB30" s="33"/>
      <c r="BC30" s="33"/>
      <c r="BD30" s="33">
        <f t="shared" si="32"/>
        <v>3000</v>
      </c>
      <c r="BE30" s="33"/>
      <c r="BF30" s="33"/>
      <c r="BG30" s="33">
        <v>1500</v>
      </c>
      <c r="BH30" s="33">
        <f t="shared" si="8"/>
        <v>1500</v>
      </c>
      <c r="BI30" s="33">
        <f t="shared" si="9"/>
        <v>1050</v>
      </c>
      <c r="BJ30" s="33">
        <f t="shared" si="16"/>
        <v>3000</v>
      </c>
    </row>
    <row r="31" spans="1:67" x14ac:dyDescent="0.3">
      <c r="B31" s="30" t="s">
        <v>141</v>
      </c>
      <c r="C31" s="30" t="s">
        <v>168</v>
      </c>
      <c r="D31" s="30" t="s">
        <v>169</v>
      </c>
      <c r="E31" s="40">
        <v>25868</v>
      </c>
      <c r="F31" s="41"/>
      <c r="G31" s="41"/>
      <c r="H31" s="41"/>
      <c r="I31" s="41" t="s">
        <v>71</v>
      </c>
      <c r="J31" s="41" t="s">
        <v>170</v>
      </c>
      <c r="K31" s="41"/>
      <c r="L31" s="42">
        <v>46173</v>
      </c>
      <c r="M31" s="31">
        <v>46143</v>
      </c>
      <c r="N31" s="31">
        <v>46173</v>
      </c>
      <c r="O31" s="31" t="str">
        <f t="shared" si="17"/>
        <v>Mayo - 20265</v>
      </c>
      <c r="P31" s="32" t="s">
        <v>81</v>
      </c>
      <c r="Q31" s="33">
        <v>2500</v>
      </c>
      <c r="R31" s="33">
        <f t="shared" si="33"/>
        <v>83.333333333333329</v>
      </c>
      <c r="S31" s="32">
        <f>+COUNTIFS('[1]BD Asistencia'!$E:$E,"A",'[1]BD Asistencia'!$C:$C,'Planilla Mensual'!$D31,'[1]BD Asistencia'!$D:$D,"&lt;"&amp;'Planilla Mensual'!L31)</f>
        <v>27</v>
      </c>
      <c r="T31" s="32">
        <f>+COUNTIFS('[1]BD Asistencia'!$E:$E,"DR",'[1]BD Asistencia'!$C:$C,'Planilla Mensual'!$D31,'[1]BD Asistencia'!$D:$D,"&lt;"&amp;L31)</f>
        <v>3</v>
      </c>
      <c r="U31" s="32" t="e">
        <f>+COUNTIFS('[1]BD Asistencia'!$H:$H,"NO REMUNERADO",'[1]BD Asistencia'!$C:$C,'Planilla Mensual'!$D31,'[1]BD Asistencia'!$D:$D,"&lt;"&amp;L31)</f>
        <v>#VALUE!</v>
      </c>
      <c r="V31" s="32">
        <f>+COUNTIFS('[1]BD Asistencia'!$E:$E,"A",'[1]BD Asistencia'!$C:$C,'Planilla Mensual'!$D31,'[1]BD Asistencia'!$D:$D,"&gt;="&amp;'Planilla Mensual'!M31,'[1]BD Asistencia'!$D:$D,"&lt;="&amp;'Planilla Mensual'!N31)-S31</f>
        <v>0</v>
      </c>
      <c r="W31" s="32">
        <f>+COUNTIFS('[1]BD Asistencia'!$E:$E,"V",'[1]BD Asistencia'!$C:$C,'Planilla Mensual'!$D31,'[1]BD Asistencia'!$D:$D,"&gt;="&amp;'Planilla Mensual'!M31,'[1]BD Asistencia'!$D:$D,"&lt;="&amp;'Planilla Mensual'!N31)</f>
        <v>0</v>
      </c>
      <c r="X31" s="32">
        <f>+COUNTIFS('[1]BD Asistencia'!$E:$E,"DR",'[1]BD Asistencia'!$C:$C,'Planilla Mensual'!$D31,'[1]BD Asistencia'!$D:$D,"&gt;="&amp;'Planilla Mensual'!M31,'[1]BD Asistencia'!$D:$D,"&lt;="&amp;'Planilla Mensual'!N31)-T31</f>
        <v>1</v>
      </c>
      <c r="Y31" s="32">
        <f>+COUNTIFS('[1]BD Asistencia'!$E:$E,"h",'[1]BD Asistencia'!$C:$C,'Planilla Mensual'!$D31,'[1]BD Asistencia'!$D:$D,"&gt;="&amp;'Planilla Mensual'!M31,'[1]BD Asistencia'!$D:$D,"&lt;="&amp;'Planilla Mensual'!N31)</f>
        <v>0</v>
      </c>
      <c r="Z31" s="32">
        <f>+COUNTIFS('[1]BD Asistencia'!$E:$E,"h/A",'[1]BD Asistencia'!$C:$C,'Planilla Mensual'!$D31,'[1]BD Asistencia'!$D:$D,"&gt;="&amp;'Planilla Mensual'!M31,'[1]BD Asistencia'!$D:$D,"&lt;="&amp;'Planilla Mensual'!N31)</f>
        <v>0</v>
      </c>
      <c r="AA31" s="32" t="e">
        <f>+COUNTIFS('[1]BD Asistencia'!$H:$H,"NO REMUNERADO",'[1]BD Asistencia'!$C:$C,'Planilla Mensual'!$D31,'[1]BD Asistencia'!$D:$D,"&gt;="&amp;'Planilla Mensual'!M31,'[1]BD Asistencia'!$D:$D,"&lt;="&amp;'Planilla Mensual'!N31)-U31</f>
        <v>#VALUE!</v>
      </c>
      <c r="AB31" s="32">
        <f>+COUNTIFS('[1]BD Asistencia'!$E:$E,"F",'[1]BD Asistencia'!$C:$C,'Planilla Mensual'!$D31,'[1]BD Asistencia'!$D:$D,"&gt;="&amp;'Planilla Mensual'!M31,'[1]BD Asistencia'!$D:$D,"&lt;="&amp;'Planilla Mensual'!N31)</f>
        <v>0</v>
      </c>
      <c r="AC31" s="32" t="e">
        <f t="shared" si="18"/>
        <v>#VALUE!</v>
      </c>
      <c r="AD31" s="32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>
        <f t="shared" si="20"/>
        <v>0</v>
      </c>
      <c r="AU31" s="33">
        <f t="shared" si="13"/>
        <v>0</v>
      </c>
      <c r="AV31" s="33">
        <f t="shared" si="21"/>
        <v>0</v>
      </c>
      <c r="AW31" s="33"/>
      <c r="AX31" s="33">
        <f t="shared" si="22"/>
        <v>0</v>
      </c>
      <c r="AY31" s="35"/>
      <c r="AZ31" s="35"/>
      <c r="BB31" s="33"/>
      <c r="BC31" s="33"/>
      <c r="BD31" s="33">
        <f t="shared" si="32"/>
        <v>2500</v>
      </c>
      <c r="BE31" s="33"/>
      <c r="BF31" s="33"/>
      <c r="BG31" s="33">
        <v>1250</v>
      </c>
      <c r="BH31" s="33">
        <f t="shared" si="8"/>
        <v>1250</v>
      </c>
      <c r="BI31" s="33">
        <f t="shared" si="9"/>
        <v>1250</v>
      </c>
      <c r="BJ31" s="33">
        <f t="shared" si="16"/>
        <v>2500</v>
      </c>
    </row>
    <row r="32" spans="1:67" x14ac:dyDescent="0.3">
      <c r="B32" s="30" t="s">
        <v>141</v>
      </c>
      <c r="C32" s="30">
        <v>72904798</v>
      </c>
      <c r="D32" s="30" t="s">
        <v>171</v>
      </c>
      <c r="E32" s="31">
        <v>38290</v>
      </c>
      <c r="F32" s="30"/>
      <c r="G32" s="30"/>
      <c r="H32" s="30"/>
      <c r="I32" s="30" t="s">
        <v>71</v>
      </c>
      <c r="J32" s="30" t="s">
        <v>172</v>
      </c>
      <c r="K32" s="30"/>
      <c r="L32" s="38">
        <v>46173</v>
      </c>
      <c r="M32" s="31">
        <v>46143</v>
      </c>
      <c r="N32" s="31">
        <v>46173</v>
      </c>
      <c r="O32" s="31" t="str">
        <f t="shared" si="17"/>
        <v>Mayo - 20265</v>
      </c>
      <c r="P32" s="32" t="s">
        <v>81</v>
      </c>
      <c r="Q32" s="33">
        <v>1200</v>
      </c>
      <c r="R32" s="33">
        <f t="shared" si="33"/>
        <v>40</v>
      </c>
      <c r="S32" s="32">
        <v>30</v>
      </c>
      <c r="T32" s="32">
        <f>+COUNTIFS('[1]BD Asistencia'!$E:$E,"DR",'[1]BD Asistencia'!$C:$C,'Planilla Mensual'!$D32,'[1]BD Asistencia'!$D:$D,"&lt;"&amp;L32)</f>
        <v>0</v>
      </c>
      <c r="U32" s="32" t="e">
        <f>+COUNTIFS('[1]BD Asistencia'!$H:$H,"NO REMUNERADO",'[1]BD Asistencia'!$C:$C,'Planilla Mensual'!$D32,'[1]BD Asistencia'!$D:$D,"&lt;"&amp;L32)</f>
        <v>#VALUE!</v>
      </c>
      <c r="V32" s="32">
        <f>+COUNTIFS('[1]BD Asistencia'!$E:$E,"A",'[1]BD Asistencia'!$C:$C,'Planilla Mensual'!$D32,'[1]BD Asistencia'!$D:$D,"&gt;="&amp;'Planilla Mensual'!M32,'[1]BD Asistencia'!$D:$D,"&lt;="&amp;'Planilla Mensual'!N32)-S32</f>
        <v>-30</v>
      </c>
      <c r="W32" s="32">
        <f>+COUNTIFS('[1]BD Asistencia'!$E:$E,"V",'[1]BD Asistencia'!$C:$C,'Planilla Mensual'!$D32,'[1]BD Asistencia'!$D:$D,"&gt;="&amp;'Planilla Mensual'!M32,'[1]BD Asistencia'!$D:$D,"&lt;="&amp;'Planilla Mensual'!N32)</f>
        <v>0</v>
      </c>
      <c r="X32" s="32">
        <v>0</v>
      </c>
      <c r="Y32" s="32">
        <f>+COUNTIFS('[1]BD Asistencia'!$E:$E,"h",'[1]BD Asistencia'!$C:$C,'Planilla Mensual'!$D32,'[1]BD Asistencia'!$D:$D,"&gt;="&amp;'Planilla Mensual'!M32,'[1]BD Asistencia'!$D:$D,"&lt;="&amp;'Planilla Mensual'!N32)</f>
        <v>0</v>
      </c>
      <c r="Z32" s="32">
        <f>+COUNTIFS('[1]BD Asistencia'!$E:$E,"h/A",'[1]BD Asistencia'!$C:$C,'Planilla Mensual'!$D32,'[1]BD Asistencia'!$D:$D,"&gt;="&amp;'Planilla Mensual'!M32,'[1]BD Asistencia'!$D:$D,"&lt;="&amp;'Planilla Mensual'!N32)</f>
        <v>0</v>
      </c>
      <c r="AA32" s="32" t="e">
        <f>+COUNTIFS('[1]BD Asistencia'!$H:$H,"NO REMUNERADO",'[1]BD Asistencia'!$C:$C,'Planilla Mensual'!$D32,'[1]BD Asistencia'!$D:$D,"&gt;="&amp;'Planilla Mensual'!M32,'[1]BD Asistencia'!$D:$D,"&lt;="&amp;'Planilla Mensual'!N32)-U32</f>
        <v>#VALUE!</v>
      </c>
      <c r="AB32" s="32">
        <f>+COUNTIFS('[1]BD Asistencia'!$E:$E,"F",'[1]BD Asistencia'!$C:$C,'Planilla Mensual'!$D32,'[1]BD Asistencia'!$D:$D,"&gt;="&amp;'Planilla Mensual'!M32,'[1]BD Asistencia'!$D:$D,"&lt;="&amp;'Planilla Mensual'!N32)</f>
        <v>0</v>
      </c>
      <c r="AC32" s="32" t="e">
        <f t="shared" si="18"/>
        <v>#VALUE!</v>
      </c>
      <c r="AD32" s="32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>
        <f t="shared" si="20"/>
        <v>0</v>
      </c>
      <c r="AU32" s="33">
        <f t="shared" si="13"/>
        <v>0</v>
      </c>
      <c r="AV32" s="33">
        <f t="shared" si="21"/>
        <v>0</v>
      </c>
      <c r="AW32" s="33"/>
      <c r="AX32" s="33">
        <f t="shared" si="22"/>
        <v>0</v>
      </c>
      <c r="AY32" s="35"/>
      <c r="AZ32" s="35"/>
      <c r="BB32" s="33"/>
      <c r="BC32" s="33"/>
      <c r="BD32" s="33">
        <f t="shared" si="32"/>
        <v>1200</v>
      </c>
      <c r="BE32" s="33"/>
      <c r="BF32" s="33"/>
      <c r="BG32" s="33">
        <v>600</v>
      </c>
      <c r="BH32" s="33">
        <f t="shared" si="8"/>
        <v>600</v>
      </c>
      <c r="BI32" s="33">
        <f t="shared" si="9"/>
        <v>600</v>
      </c>
      <c r="BJ32" s="33">
        <f t="shared" si="16"/>
        <v>1200</v>
      </c>
    </row>
    <row r="33" spans="2:62" x14ac:dyDescent="0.3">
      <c r="B33" s="30" t="s">
        <v>141</v>
      </c>
      <c r="C33" s="30">
        <v>73984945</v>
      </c>
      <c r="D33" s="30" t="s">
        <v>173</v>
      </c>
      <c r="E33" s="40">
        <v>38268</v>
      </c>
      <c r="F33" s="41"/>
      <c r="G33" s="41"/>
      <c r="H33" s="41"/>
      <c r="I33" s="41"/>
      <c r="J33" s="41"/>
      <c r="K33" s="41">
        <v>936698467</v>
      </c>
      <c r="L33" s="42">
        <v>46173</v>
      </c>
      <c r="M33" s="31">
        <v>46143</v>
      </c>
      <c r="N33" s="31">
        <v>46173</v>
      </c>
      <c r="O33" s="31" t="str">
        <f t="shared" si="17"/>
        <v>Mayo - 20265</v>
      </c>
      <c r="P33" s="32" t="s">
        <v>81</v>
      </c>
      <c r="Q33" s="33">
        <v>1200</v>
      </c>
      <c r="R33" s="33">
        <f t="shared" si="33"/>
        <v>40</v>
      </c>
      <c r="S33" s="32">
        <f>+COUNTIFS('[1]BD Asistencia'!$E:$E,"A",'[1]BD Asistencia'!$C:$C,'Planilla Mensual'!$D33,'[1]BD Asistencia'!$D:$D,"&lt;"&amp;'Planilla Mensual'!L33)</f>
        <v>13</v>
      </c>
      <c r="T33" s="32">
        <f>+COUNTIFS('[1]BD Asistencia'!$E:$E,"DR",'[1]BD Asistencia'!$C:$C,'Planilla Mensual'!$D33,'[1]BD Asistencia'!$D:$D,"&lt;"&amp;L33)</f>
        <v>0</v>
      </c>
      <c r="U33" s="32" t="e">
        <f>+COUNTIFS('[1]BD Asistencia'!$H:$H,"NO REMUNERADO",'[1]BD Asistencia'!$C:$C,'Planilla Mensual'!$D33,'[1]BD Asistencia'!$D:$D,"&lt;"&amp;L33)</f>
        <v>#VALUE!</v>
      </c>
      <c r="V33" s="32">
        <f>+COUNTIFS('[1]BD Asistencia'!$E:$E,"A",'[1]BD Asistencia'!$C:$C,'Planilla Mensual'!$D33,'[1]BD Asistencia'!$D:$D,"&gt;="&amp;'Planilla Mensual'!M33,'[1]BD Asistencia'!$D:$D,"&lt;="&amp;'Planilla Mensual'!N33)-S33</f>
        <v>0</v>
      </c>
      <c r="W33" s="32">
        <f>+COUNTIFS('[1]BD Asistencia'!$E:$E,"V",'[1]BD Asistencia'!$C:$C,'Planilla Mensual'!$D33,'[1]BD Asistencia'!$D:$D,"&gt;="&amp;'Planilla Mensual'!M33,'[1]BD Asistencia'!$D:$D,"&lt;="&amp;'Planilla Mensual'!N33)</f>
        <v>0</v>
      </c>
      <c r="X33" s="32">
        <f>+COUNTIFS('[1]BD Asistencia'!$E:$E,"DR",'[1]BD Asistencia'!$C:$C,'Planilla Mensual'!$D33,'[1]BD Asistencia'!$D:$D,"&gt;="&amp;'Planilla Mensual'!M33,'[1]BD Asistencia'!$D:$D,"&lt;="&amp;'Planilla Mensual'!N33)-T33</f>
        <v>0</v>
      </c>
      <c r="Y33" s="32">
        <f>+COUNTIFS('[1]BD Asistencia'!$E:$E,"h",'[1]BD Asistencia'!$C:$C,'Planilla Mensual'!$D33,'[1]BD Asistencia'!$D:$D,"&gt;="&amp;'Planilla Mensual'!M33,'[1]BD Asistencia'!$D:$D,"&lt;="&amp;'Planilla Mensual'!N33)</f>
        <v>0</v>
      </c>
      <c r="Z33" s="32">
        <f>+COUNTIFS('[1]BD Asistencia'!$E:$E,"h/A",'[1]BD Asistencia'!$C:$C,'Planilla Mensual'!$D33,'[1]BD Asistencia'!$D:$D,"&gt;="&amp;'Planilla Mensual'!M33,'[1]BD Asistencia'!$D:$D,"&lt;="&amp;'Planilla Mensual'!N33)</f>
        <v>0</v>
      </c>
      <c r="AA33" s="32" t="e">
        <f>+COUNTIFS('[1]BD Asistencia'!$H:$H,"NO REMUNERADO",'[1]BD Asistencia'!$C:$C,'Planilla Mensual'!$D33,'[1]BD Asistencia'!$D:$D,"&gt;="&amp;'Planilla Mensual'!M33,'[1]BD Asistencia'!$D:$D,"&lt;="&amp;'Planilla Mensual'!N33)-U33</f>
        <v>#VALUE!</v>
      </c>
      <c r="AB33" s="32">
        <f>+COUNTIFS('[1]BD Asistencia'!$E:$E,"F",'[1]BD Asistencia'!$C:$C,'Planilla Mensual'!$D33,'[1]BD Asistencia'!$D:$D,"&gt;="&amp;'Planilla Mensual'!M33,'[1]BD Asistencia'!$D:$D,"&lt;="&amp;'Planilla Mensual'!N33)</f>
        <v>0</v>
      </c>
      <c r="AC33" s="32" t="e">
        <f t="shared" si="18"/>
        <v>#VALUE!</v>
      </c>
      <c r="AD33" s="32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>
        <f t="shared" si="20"/>
        <v>0</v>
      </c>
      <c r="AU33" s="33">
        <f t="shared" si="13"/>
        <v>0</v>
      </c>
      <c r="AV33" s="33">
        <f t="shared" si="21"/>
        <v>0</v>
      </c>
      <c r="AW33" s="33"/>
      <c r="AX33" s="33">
        <f t="shared" si="22"/>
        <v>0</v>
      </c>
      <c r="AY33" s="35"/>
      <c r="AZ33" s="35"/>
      <c r="BB33" s="33"/>
      <c r="BC33" s="33"/>
      <c r="BD33" s="33">
        <f t="shared" si="32"/>
        <v>520</v>
      </c>
      <c r="BE33" s="33"/>
      <c r="BF33" s="33"/>
      <c r="BG33" s="33">
        <v>160</v>
      </c>
      <c r="BH33" s="33">
        <f t="shared" si="8"/>
        <v>160</v>
      </c>
      <c r="BI33" s="33">
        <f t="shared" si="9"/>
        <v>360</v>
      </c>
      <c r="BJ33" s="33">
        <f t="shared" si="16"/>
        <v>520</v>
      </c>
    </row>
    <row r="34" spans="2:62" x14ac:dyDescent="0.3">
      <c r="B34" s="30" t="s">
        <v>141</v>
      </c>
      <c r="C34" s="30"/>
      <c r="D34" s="30" t="s">
        <v>174</v>
      </c>
      <c r="E34" s="40"/>
      <c r="F34" s="41"/>
      <c r="G34" s="41"/>
      <c r="H34" s="41"/>
      <c r="I34" s="41"/>
      <c r="J34" s="41"/>
      <c r="K34" s="41">
        <v>936528185</v>
      </c>
      <c r="L34" s="42">
        <v>46173</v>
      </c>
      <c r="M34" s="31">
        <v>46143</v>
      </c>
      <c r="N34" s="31">
        <v>46173</v>
      </c>
      <c r="O34" s="31" t="str">
        <f t="shared" si="17"/>
        <v>Mayo - 20265</v>
      </c>
      <c r="P34" s="32" t="s">
        <v>81</v>
      </c>
      <c r="Q34" s="33">
        <v>1200</v>
      </c>
      <c r="R34" s="33">
        <f t="shared" si="33"/>
        <v>40</v>
      </c>
      <c r="S34" s="32">
        <v>30</v>
      </c>
      <c r="T34" s="32">
        <f>+COUNTIFS('[1]BD Asistencia'!$E:$E,"DR",'[1]BD Asistencia'!$C:$C,'Planilla Mensual'!$D34,'[1]BD Asistencia'!$D:$D,"&lt;"&amp;L34)</f>
        <v>0</v>
      </c>
      <c r="U34" s="32" t="e">
        <f>+COUNTIFS('[1]BD Asistencia'!$H:$H,"NO REMUNERADO",'[1]BD Asistencia'!$C:$C,'Planilla Mensual'!$D34,'[1]BD Asistencia'!$D:$D,"&lt;"&amp;L34)</f>
        <v>#VALUE!</v>
      </c>
      <c r="V34" s="32">
        <f>+COUNTIFS('[1]BD Asistencia'!$E:$E,"A",'[1]BD Asistencia'!$C:$C,'Planilla Mensual'!$D34,'[1]BD Asistencia'!$D:$D,"&gt;="&amp;'Planilla Mensual'!M34,'[1]BD Asistencia'!$D:$D,"&lt;="&amp;'Planilla Mensual'!N34)-S34</f>
        <v>-30</v>
      </c>
      <c r="W34" s="32">
        <f>+COUNTIFS('[1]BD Asistencia'!$E:$E,"V",'[1]BD Asistencia'!$C:$C,'Planilla Mensual'!$D34,'[1]BD Asistencia'!$D:$D,"&gt;="&amp;'Planilla Mensual'!M34,'[1]BD Asistencia'!$D:$D,"&lt;="&amp;'Planilla Mensual'!N34)</f>
        <v>0</v>
      </c>
      <c r="X34" s="32">
        <v>0</v>
      </c>
      <c r="Y34" s="32">
        <f>+COUNTIFS('[1]BD Asistencia'!$E:$E,"h",'[1]BD Asistencia'!$C:$C,'Planilla Mensual'!$D34,'[1]BD Asistencia'!$D:$D,"&gt;="&amp;'Planilla Mensual'!M34,'[1]BD Asistencia'!$D:$D,"&lt;="&amp;'Planilla Mensual'!N34)</f>
        <v>0</v>
      </c>
      <c r="Z34" s="32">
        <f>+COUNTIFS('[1]BD Asistencia'!$E:$E,"h/A",'[1]BD Asistencia'!$C:$C,'Planilla Mensual'!$D34,'[1]BD Asistencia'!$D:$D,"&gt;="&amp;'Planilla Mensual'!M34,'[1]BD Asistencia'!$D:$D,"&lt;="&amp;'Planilla Mensual'!N34)</f>
        <v>0</v>
      </c>
      <c r="AA34" s="32" t="e">
        <f>+COUNTIFS('[1]BD Asistencia'!$H:$H,"NO REMUNERADO",'[1]BD Asistencia'!$C:$C,'Planilla Mensual'!$D34,'[1]BD Asistencia'!$D:$D,"&gt;="&amp;'Planilla Mensual'!M34,'[1]BD Asistencia'!$D:$D,"&lt;="&amp;'Planilla Mensual'!N34)-U34</f>
        <v>#VALUE!</v>
      </c>
      <c r="AB34" s="32">
        <f>+COUNTIFS('[1]BD Asistencia'!$E:$E,"F",'[1]BD Asistencia'!$C:$C,'Planilla Mensual'!$D34,'[1]BD Asistencia'!$D:$D,"&gt;="&amp;'Planilla Mensual'!M34,'[1]BD Asistencia'!$D:$D,"&lt;="&amp;'Planilla Mensual'!N34)</f>
        <v>0</v>
      </c>
      <c r="AC34" s="32" t="e">
        <f t="shared" si="18"/>
        <v>#VALUE!</v>
      </c>
      <c r="AD34" s="32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>
        <f t="shared" si="20"/>
        <v>0</v>
      </c>
      <c r="AU34" s="33">
        <f t="shared" si="13"/>
        <v>0</v>
      </c>
      <c r="AV34" s="33">
        <f t="shared" si="21"/>
        <v>0</v>
      </c>
      <c r="AW34" s="33"/>
      <c r="AX34" s="33">
        <f t="shared" si="22"/>
        <v>0</v>
      </c>
      <c r="AY34" s="35"/>
      <c r="AZ34" s="35"/>
      <c r="BB34" s="33"/>
      <c r="BC34" s="33"/>
      <c r="BD34" s="33">
        <f t="shared" si="32"/>
        <v>1200</v>
      </c>
      <c r="BE34" s="33"/>
      <c r="BF34" s="33"/>
      <c r="BG34" s="33">
        <v>600</v>
      </c>
      <c r="BH34" s="33">
        <f t="shared" si="8"/>
        <v>600</v>
      </c>
      <c r="BI34" s="33">
        <f t="shared" si="9"/>
        <v>600</v>
      </c>
      <c r="BJ34" s="33">
        <f t="shared" si="16"/>
        <v>1200</v>
      </c>
    </row>
    <row r="35" spans="2:62" x14ac:dyDescent="0.3">
      <c r="B35" s="30" t="s">
        <v>141</v>
      </c>
      <c r="C35" s="30">
        <v>74209005</v>
      </c>
      <c r="D35" s="30" t="s">
        <v>175</v>
      </c>
      <c r="E35" s="31">
        <v>34562</v>
      </c>
      <c r="F35" s="30"/>
      <c r="G35" s="30"/>
      <c r="H35" s="30"/>
      <c r="I35" s="30" t="s">
        <v>71</v>
      </c>
      <c r="J35" s="37" t="s">
        <v>176</v>
      </c>
      <c r="K35" s="30"/>
      <c r="L35" s="38">
        <v>46173</v>
      </c>
      <c r="M35" s="31">
        <v>46143</v>
      </c>
      <c r="N35" s="31">
        <v>46173</v>
      </c>
      <c r="O35" s="31" t="str">
        <f t="shared" si="17"/>
        <v>Mayo - 20265</v>
      </c>
      <c r="P35" s="32" t="s">
        <v>81</v>
      </c>
      <c r="Q35" s="33">
        <v>2500</v>
      </c>
      <c r="R35" s="33">
        <f t="shared" si="33"/>
        <v>83.333333333333329</v>
      </c>
      <c r="S35" s="32">
        <v>27</v>
      </c>
      <c r="T35" s="32">
        <f>+COUNTIFS('[1]BD Asistencia'!$E:$E,"DR",'[1]BD Asistencia'!$C:$C,'Planilla Mensual'!$D35,'[1]BD Asistencia'!$D:$D,"&lt;"&amp;L35)</f>
        <v>0</v>
      </c>
      <c r="U35" s="32" t="e">
        <f>+COUNTIFS('[1]BD Asistencia'!$H:$H,"NO REMUNERADO",'[1]BD Asistencia'!$C:$C,'Planilla Mensual'!$D35,'[1]BD Asistencia'!$D:$D,"&lt;"&amp;L35)</f>
        <v>#VALUE!</v>
      </c>
      <c r="V35" s="32">
        <f>+COUNTIFS('[1]BD Asistencia'!$E:$E,"A",'[1]BD Asistencia'!$C:$C,'Planilla Mensual'!$D35,'[1]BD Asistencia'!$D:$D,"&gt;="&amp;'Planilla Mensual'!M35,'[1]BD Asistencia'!$D:$D,"&lt;="&amp;'Planilla Mensual'!N35)-S35</f>
        <v>-27</v>
      </c>
      <c r="W35" s="32">
        <f>+COUNTIFS('[1]BD Asistencia'!$E:$E,"V",'[1]BD Asistencia'!$C:$C,'Planilla Mensual'!$D35,'[1]BD Asistencia'!$D:$D,"&gt;="&amp;'Planilla Mensual'!M35,'[1]BD Asistencia'!$D:$D,"&lt;="&amp;'Planilla Mensual'!N35)</f>
        <v>0</v>
      </c>
      <c r="X35" s="32">
        <v>0</v>
      </c>
      <c r="Y35" s="32">
        <f>+COUNTIFS('[1]BD Asistencia'!$E:$E,"h",'[1]BD Asistencia'!$C:$C,'Planilla Mensual'!$D35,'[1]BD Asistencia'!$D:$D,"&gt;="&amp;'Planilla Mensual'!M35,'[1]BD Asistencia'!$D:$D,"&lt;="&amp;'Planilla Mensual'!N35)</f>
        <v>0</v>
      </c>
      <c r="Z35" s="32">
        <f>+COUNTIFS('[1]BD Asistencia'!$E:$E,"h/A",'[1]BD Asistencia'!$C:$C,'Planilla Mensual'!$D35,'[1]BD Asistencia'!$D:$D,"&gt;="&amp;'Planilla Mensual'!M35,'[1]BD Asistencia'!$D:$D,"&lt;="&amp;'Planilla Mensual'!N35)</f>
        <v>0</v>
      </c>
      <c r="AA35" s="32">
        <v>0</v>
      </c>
      <c r="AB35" s="32">
        <f>+COUNTIFS('[1]BD Asistencia'!$E:$E,"F",'[1]BD Asistencia'!$C:$C,'Planilla Mensual'!$D35,'[1]BD Asistencia'!$D:$D,"&gt;="&amp;'Planilla Mensual'!M35,'[1]BD Asistencia'!$D:$D,"&lt;="&amp;'Planilla Mensual'!N35)</f>
        <v>0</v>
      </c>
      <c r="AC35" s="32" t="e">
        <f t="shared" si="18"/>
        <v>#VALUE!</v>
      </c>
      <c r="AD35" s="32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>
        <f t="shared" si="20"/>
        <v>0</v>
      </c>
      <c r="AU35" s="33">
        <f t="shared" si="13"/>
        <v>0</v>
      </c>
      <c r="AV35" s="33">
        <f t="shared" si="21"/>
        <v>0</v>
      </c>
      <c r="AW35" s="33"/>
      <c r="AX35" s="33">
        <f t="shared" si="22"/>
        <v>0</v>
      </c>
      <c r="AY35" s="35"/>
      <c r="AZ35" s="35"/>
      <c r="BB35" s="33"/>
      <c r="BC35" s="33"/>
      <c r="BD35" s="33">
        <f t="shared" si="32"/>
        <v>2250</v>
      </c>
      <c r="BE35" s="33"/>
      <c r="BF35" s="33"/>
      <c r="BG35" s="33">
        <v>1000</v>
      </c>
      <c r="BH35" s="33">
        <f t="shared" si="8"/>
        <v>1000</v>
      </c>
      <c r="BI35" s="33">
        <f t="shared" si="9"/>
        <v>1250</v>
      </c>
      <c r="BJ35" s="33">
        <f t="shared" si="16"/>
        <v>2250</v>
      </c>
    </row>
    <row r="36" spans="2:62" x14ac:dyDescent="0.3">
      <c r="B36" s="30" t="s">
        <v>141</v>
      </c>
      <c r="C36" s="30">
        <v>70901195</v>
      </c>
      <c r="D36" s="30" t="s">
        <v>177</v>
      </c>
      <c r="E36" s="31">
        <v>35029</v>
      </c>
      <c r="F36" s="30"/>
      <c r="G36" s="30"/>
      <c r="H36" s="30"/>
      <c r="I36" s="30" t="s">
        <v>71</v>
      </c>
      <c r="J36" s="30" t="s">
        <v>178</v>
      </c>
      <c r="K36" s="30"/>
      <c r="L36" s="38">
        <v>46173</v>
      </c>
      <c r="M36" s="31">
        <v>46143</v>
      </c>
      <c r="N36" s="31">
        <v>46173</v>
      </c>
      <c r="O36" s="31"/>
      <c r="P36" s="32" t="s">
        <v>81</v>
      </c>
      <c r="Q36" s="33">
        <v>4500</v>
      </c>
      <c r="R36" s="33">
        <f t="shared" si="33"/>
        <v>150</v>
      </c>
      <c r="S36" s="32">
        <v>30</v>
      </c>
      <c r="T36" s="32">
        <f>+COUNTIFS('[1]BD Asistencia'!$E:$E,"DR",'[1]BD Asistencia'!$C:$C,'Planilla Mensual'!$D36,'[1]BD Asistencia'!$D:$D,"&lt;"&amp;L36)</f>
        <v>0</v>
      </c>
      <c r="U36" s="32" t="e">
        <f>+COUNTIFS('[1]BD Asistencia'!$H:$H,"NO REMUNERADO",'[1]BD Asistencia'!$C:$C,'Planilla Mensual'!$D36,'[1]BD Asistencia'!$D:$D,"&lt;"&amp;L36)</f>
        <v>#VALUE!</v>
      </c>
      <c r="V36" s="32">
        <f>+COUNTIFS('[1]BD Asistencia'!$E:$E,"A",'[1]BD Asistencia'!$C:$C,'Planilla Mensual'!$D36,'[1]BD Asistencia'!$D:$D,"&gt;="&amp;'Planilla Mensual'!M36,'[1]BD Asistencia'!$D:$D,"&lt;="&amp;'Planilla Mensual'!N36)-S36</f>
        <v>-30</v>
      </c>
      <c r="W36" s="32">
        <f>+COUNTIFS('[1]BD Asistencia'!$E:$E,"V",'[1]BD Asistencia'!$C:$C,'Planilla Mensual'!$D36,'[1]BD Asistencia'!$D:$D,"&gt;="&amp;'Planilla Mensual'!M36,'[1]BD Asistencia'!$D:$D,"&lt;="&amp;'Planilla Mensual'!N36)</f>
        <v>0</v>
      </c>
      <c r="X36" s="32">
        <v>0</v>
      </c>
      <c r="Y36" s="32">
        <f>+COUNTIFS('[1]BD Asistencia'!$E:$E,"h",'[1]BD Asistencia'!$C:$C,'Planilla Mensual'!$D36,'[1]BD Asistencia'!$D:$D,"&gt;="&amp;'Planilla Mensual'!M36,'[1]BD Asistencia'!$D:$D,"&lt;="&amp;'Planilla Mensual'!N36)</f>
        <v>0</v>
      </c>
      <c r="Z36" s="32">
        <f>+COUNTIFS('[1]BD Asistencia'!$E:$E,"h/A",'[1]BD Asistencia'!$C:$C,'Planilla Mensual'!$D36,'[1]BD Asistencia'!$D:$D,"&gt;="&amp;'Planilla Mensual'!M36,'[1]BD Asistencia'!$D:$D,"&lt;="&amp;'Planilla Mensual'!N36)</f>
        <v>0</v>
      </c>
      <c r="AA36" s="32" t="e">
        <f>+COUNTIFS('[1]BD Asistencia'!$H:$H,"NO REMUNERADO",'[1]BD Asistencia'!$C:$C,'Planilla Mensual'!$D36,'[1]BD Asistencia'!$D:$D,"&gt;="&amp;'Planilla Mensual'!M36,'[1]BD Asistencia'!$D:$D,"&lt;="&amp;'Planilla Mensual'!N36)-U36</f>
        <v>#VALUE!</v>
      </c>
      <c r="AB36" s="32">
        <f>+COUNTIFS('[1]BD Asistencia'!$E:$E,"F",'[1]BD Asistencia'!$C:$C,'Planilla Mensual'!$D36,'[1]BD Asistencia'!$D:$D,"&gt;="&amp;'Planilla Mensual'!M36,'[1]BD Asistencia'!$D:$D,"&lt;="&amp;'Planilla Mensual'!N36)</f>
        <v>0</v>
      </c>
      <c r="AC36" s="32" t="e">
        <f t="shared" si="18"/>
        <v>#VALUE!</v>
      </c>
      <c r="AD36" s="32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>
        <f t="shared" si="20"/>
        <v>0</v>
      </c>
      <c r="AU36" s="33">
        <f t="shared" si="13"/>
        <v>0</v>
      </c>
      <c r="AV36" s="33">
        <f t="shared" si="21"/>
        <v>0</v>
      </c>
      <c r="AW36" s="33"/>
      <c r="AX36" s="33">
        <f t="shared" si="22"/>
        <v>0</v>
      </c>
      <c r="AY36" s="35"/>
      <c r="AZ36" s="35"/>
      <c r="BB36" s="33"/>
      <c r="BC36" s="33"/>
      <c r="BD36" s="33">
        <f t="shared" si="32"/>
        <v>4500</v>
      </c>
      <c r="BE36" s="33"/>
      <c r="BF36" s="33"/>
      <c r="BG36" s="33">
        <v>0</v>
      </c>
      <c r="BH36" s="33">
        <f t="shared" si="8"/>
        <v>0</v>
      </c>
      <c r="BI36" s="33">
        <f t="shared" si="9"/>
        <v>4500</v>
      </c>
      <c r="BJ36" s="33">
        <f t="shared" si="16"/>
        <v>4500</v>
      </c>
    </row>
    <row r="37" spans="2:62" x14ac:dyDescent="0.3">
      <c r="B37" s="30" t="s">
        <v>141</v>
      </c>
      <c r="C37" s="30">
        <v>72530933</v>
      </c>
      <c r="D37" s="30" t="s">
        <v>179</v>
      </c>
      <c r="E37" s="31">
        <v>35031</v>
      </c>
      <c r="F37" s="30"/>
      <c r="G37" s="30"/>
      <c r="H37" s="30"/>
      <c r="I37" s="30"/>
      <c r="J37" s="30"/>
      <c r="K37" s="30"/>
      <c r="L37" s="38">
        <v>46173</v>
      </c>
      <c r="M37" s="31">
        <v>46143</v>
      </c>
      <c r="N37" s="31">
        <v>46173</v>
      </c>
      <c r="O37" s="31"/>
      <c r="P37" s="32" t="s">
        <v>81</v>
      </c>
      <c r="Q37" s="33">
        <v>5000</v>
      </c>
      <c r="R37" s="33">
        <f t="shared" si="33"/>
        <v>166.66666666666666</v>
      </c>
      <c r="S37" s="32">
        <v>30</v>
      </c>
      <c r="T37" s="32">
        <f>+COUNTIFS('[1]BD Asistencia'!$E:$E,"DR",'[1]BD Asistencia'!$C:$C,'Planilla Mensual'!$D37,'[1]BD Asistencia'!$D:$D,"&lt;"&amp;L37)</f>
        <v>0</v>
      </c>
      <c r="U37" s="32" t="e">
        <f>+COUNTIFS('[1]BD Asistencia'!$H:$H,"NO REMUNERADO",'[1]BD Asistencia'!$C:$C,'Planilla Mensual'!$D37,'[1]BD Asistencia'!$D:$D,"&lt;"&amp;L37)</f>
        <v>#VALUE!</v>
      </c>
      <c r="V37" s="32">
        <f>+COUNTIFS('[1]BD Asistencia'!$E:$E,"A",'[1]BD Asistencia'!$C:$C,'Planilla Mensual'!$D37,'[1]BD Asistencia'!$D:$D,"&gt;="&amp;'Planilla Mensual'!M37,'[1]BD Asistencia'!$D:$D,"&lt;="&amp;'Planilla Mensual'!N37)-S37</f>
        <v>-30</v>
      </c>
      <c r="W37" s="32">
        <f>+COUNTIFS('[1]BD Asistencia'!$E:$E,"V",'[1]BD Asistencia'!$C:$C,'Planilla Mensual'!$D37,'[1]BD Asistencia'!$D:$D,"&gt;="&amp;'Planilla Mensual'!M37,'[1]BD Asistencia'!$D:$D,"&lt;="&amp;'Planilla Mensual'!N37)</f>
        <v>0</v>
      </c>
      <c r="X37" s="32">
        <v>0</v>
      </c>
      <c r="Y37" s="32">
        <f>+COUNTIFS('[1]BD Asistencia'!$E:$E,"h",'[1]BD Asistencia'!$C:$C,'Planilla Mensual'!$D37,'[1]BD Asistencia'!$D:$D,"&gt;="&amp;'Planilla Mensual'!M37,'[1]BD Asistencia'!$D:$D,"&lt;="&amp;'Planilla Mensual'!N37)</f>
        <v>0</v>
      </c>
      <c r="Z37" s="32">
        <f>+COUNTIFS('[1]BD Asistencia'!$E:$E,"h/A",'[1]BD Asistencia'!$C:$C,'Planilla Mensual'!$D37,'[1]BD Asistencia'!$D:$D,"&gt;="&amp;'Planilla Mensual'!M37,'[1]BD Asistencia'!$D:$D,"&lt;="&amp;'Planilla Mensual'!N37)</f>
        <v>0</v>
      </c>
      <c r="AA37" s="32" t="e">
        <f>+COUNTIFS('[1]BD Asistencia'!$H:$H,"NO REMUNERADO",'[1]BD Asistencia'!$C:$C,'Planilla Mensual'!$D37,'[1]BD Asistencia'!$D:$D,"&gt;="&amp;'Planilla Mensual'!M37,'[1]BD Asistencia'!$D:$D,"&lt;="&amp;'Planilla Mensual'!N37)-U37</f>
        <v>#VALUE!</v>
      </c>
      <c r="AB37" s="32">
        <f>+COUNTIFS('[1]BD Asistencia'!$E:$E,"F",'[1]BD Asistencia'!$C:$C,'Planilla Mensual'!$D37,'[1]BD Asistencia'!$D:$D,"&gt;="&amp;'Planilla Mensual'!M37,'[1]BD Asistencia'!$D:$D,"&lt;="&amp;'Planilla Mensual'!N37)</f>
        <v>0</v>
      </c>
      <c r="AC37" s="32" t="e">
        <f t="shared" si="18"/>
        <v>#VALUE!</v>
      </c>
      <c r="AD37" s="32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>
        <f t="shared" si="20"/>
        <v>0</v>
      </c>
      <c r="AU37" s="33">
        <f t="shared" si="13"/>
        <v>0</v>
      </c>
      <c r="AV37" s="33">
        <f t="shared" si="21"/>
        <v>0</v>
      </c>
      <c r="AW37" s="33"/>
      <c r="AX37" s="33">
        <f t="shared" si="22"/>
        <v>0</v>
      </c>
      <c r="AY37" s="35"/>
      <c r="AZ37" s="35"/>
      <c r="BB37" s="33"/>
      <c r="BC37" s="33"/>
      <c r="BD37" s="33">
        <f t="shared" si="32"/>
        <v>5000</v>
      </c>
      <c r="BE37" s="33"/>
      <c r="BF37" s="33"/>
      <c r="BG37" s="33">
        <v>2500</v>
      </c>
      <c r="BH37" s="33">
        <f t="shared" si="8"/>
        <v>2500</v>
      </c>
      <c r="BI37" s="33">
        <f t="shared" si="9"/>
        <v>2500</v>
      </c>
      <c r="BJ37" s="33">
        <f t="shared" si="16"/>
        <v>5000</v>
      </c>
    </row>
    <row r="38" spans="2:62" hidden="1" x14ac:dyDescent="0.3">
      <c r="AY38" s="3"/>
      <c r="AZ38" s="3"/>
      <c r="BH38" s="33">
        <f t="shared" si="8"/>
        <v>0</v>
      </c>
      <c r="BI38" s="33">
        <f t="shared" si="9"/>
        <v>0</v>
      </c>
      <c r="BJ38" s="43">
        <f>+SUBTOTAL(9,BJ2:BJ37)</f>
        <v>91500.653000000006</v>
      </c>
    </row>
    <row r="39" spans="2:62" x14ac:dyDescent="0.3">
      <c r="BI39" s="44">
        <f>+SUBTOTAL(9,BI3:BI37)</f>
        <v>43850.510259999995</v>
      </c>
    </row>
  </sheetData>
  <autoFilter ref="B2:BJ37" xr:uid="{00000000-0001-0000-0000-000000000000}"/>
  <mergeCells count="6">
    <mergeCell ref="M1:N1"/>
    <mergeCell ref="S1:U1"/>
    <mergeCell ref="V1:AB1"/>
    <mergeCell ref="AK1:AL1"/>
    <mergeCell ref="AM1:AP1"/>
    <mergeCell ref="AQ1:AR1"/>
  </mergeCells>
  <hyperlinks>
    <hyperlink ref="AZ9" r:id="rId1" xr:uid="{6FB5CAE6-9F68-458E-B069-922F77E8A4A8}"/>
    <hyperlink ref="AZ7" r:id="rId2" xr:uid="{B99F3060-FA4D-4277-88B4-1569916AF701}"/>
    <hyperlink ref="AZ8" r:id="rId3" xr:uid="{3C11BEDA-A1A0-4381-BB08-B95752771977}"/>
    <hyperlink ref="AZ4" r:id="rId4" xr:uid="{83A7CDA2-E015-47A6-93D3-FF690E6E1179}"/>
    <hyperlink ref="AZ5" r:id="rId5" xr:uid="{EC95E8A3-21DD-4575-AFD0-E0E136AE51A7}"/>
    <hyperlink ref="AZ6" r:id="rId6" xr:uid="{9C605262-91D4-4E95-AE66-41C79B4A8522}"/>
    <hyperlink ref="AZ10" r:id="rId7" xr:uid="{858634EB-33E4-42AB-91FD-C1B1D0F2FF51}"/>
    <hyperlink ref="AZ11" r:id="rId8" xr:uid="{BA96C4D8-7F50-456B-AA3C-4DD637B3757A}"/>
    <hyperlink ref="AZ13" r:id="rId9" xr:uid="{8FB3F040-B35F-4DB8-A528-11AE59B59475}"/>
    <hyperlink ref="AZ14" r:id="rId10" xr:uid="{1A125564-0BD1-4535-BE04-5C5EBD6CBC01}"/>
    <hyperlink ref="AZ15" r:id="rId11" xr:uid="{4459B50A-C392-4863-B130-CFD46057E9F3}"/>
    <hyperlink ref="AZ17" r:id="rId12" xr:uid="{2DE09CDF-35EC-44F4-B34A-B925267667E6}"/>
    <hyperlink ref="AZ12" r:id="rId13" xr:uid="{B9B59049-C1D4-46C6-8368-05F059CC7519}"/>
    <hyperlink ref="AZ19" r:id="rId14" xr:uid="{C8E794D9-B24A-4D88-8D5A-5571FCDBF2FD}"/>
    <hyperlink ref="AZ18" r:id="rId15" xr:uid="{3DB6E0FC-9E3E-4DA8-831A-6B00F6B24089}"/>
    <hyperlink ref="AZ3" r:id="rId16" xr:uid="{FF3DFD87-B2DD-45A4-B72F-7A2CFFAC8231}"/>
    <hyperlink ref="AZ16" r:id="rId17" xr:uid="{932CA220-04FB-4006-B0FA-EA07EFC8951C}"/>
  </hyperlinks>
  <pageMargins left="0.75" right="0.75" top="1" bottom="1" header="0.5" footer="0.5"/>
  <legacy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Mensual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Alexis Oberluis Cabrera</dc:creator>
  <cp:lastModifiedBy>Wilson Alexis Oberluis Cabrera</cp:lastModifiedBy>
  <dcterms:created xsi:type="dcterms:W3CDTF">2026-06-01T22:06:59Z</dcterms:created>
  <dcterms:modified xsi:type="dcterms:W3CDTF">2026-06-01T22:07:14Z</dcterms:modified>
</cp:coreProperties>
</file>
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Desktop\WILSON\abner\abner final}\"/>
    </mc:Choice>
  </mc:AlternateContent>
  <xr:revisionPtr revIDLastSave="0" documentId="13_ncr:1_{63AFE1D4-B3E1-409A-AC44-4D7BFFDF43C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istas" sheetId="19" r:id="rId1"/>
    <sheet name="Presentación" sheetId="21" r:id="rId2"/>
    <sheet name="Planilla Mensual" sheetId="1" r:id="rId3"/>
    <sheet name="Base costo planilla" sheetId="20" r:id="rId4"/>
    <sheet name="BD Asistencia" sheetId="6" r:id="rId5"/>
    <sheet name="Resumen asistencia" sheetId="7" r:id="rId6"/>
    <sheet name="Gratificaciones" sheetId="2" state="hidden" r:id="rId7"/>
    <sheet name="CTS" sheetId="3" state="hidden" r:id="rId8"/>
    <sheet name="Resumen" sheetId="4" state="hidden" r:id="rId9"/>
  </sheets>
  <definedNames>
    <definedName name="_xlnm._FilterDatabase" localSheetId="2" hidden="1">'Planilla Mensual'!$B$2:$BD$36</definedName>
    <definedName name="DatosExternos_1" localSheetId="4" hidden="1">'BD Asistencia'!$A$1:$E$1179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4" i="1"/>
  <c r="M16" i="21"/>
  <c r="M15" i="21"/>
  <c r="M11" i="21"/>
  <c r="M10" i="21"/>
  <c r="M9" i="21"/>
  <c r="J12" i="21"/>
  <c r="J13" i="21" l="1"/>
  <c r="J14" i="21" s="1"/>
  <c r="N3" i="21"/>
  <c r="K3" i="21"/>
  <c r="AR20" i="1" l="1"/>
  <c r="AR21" i="1"/>
  <c r="AR22" i="1"/>
  <c r="AR23" i="1"/>
  <c r="AR24" i="1"/>
  <c r="AR25" i="1"/>
  <c r="AR26" i="1"/>
  <c r="AR27" i="1"/>
  <c r="AR28" i="1"/>
  <c r="AR29" i="1"/>
  <c r="AR30" i="1"/>
  <c r="AR31" i="1"/>
  <c r="AR32" i="1"/>
  <c r="AR33" i="1"/>
  <c r="AR34" i="1"/>
  <c r="AR35" i="1"/>
  <c r="AR36" i="1"/>
  <c r="H3" i="21"/>
  <c r="C3" i="21"/>
  <c r="BI20" i="1"/>
  <c r="AQ17" i="1" l="1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G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2" i="6"/>
  <c r="G303" i="6"/>
  <c r="G304" i="6"/>
  <c r="G305" i="6"/>
  <c r="G306" i="6"/>
  <c r="G307" i="6"/>
  <c r="G308" i="6"/>
  <c r="G309" i="6"/>
  <c r="G310" i="6"/>
  <c r="G311" i="6"/>
  <c r="G312" i="6"/>
  <c r="G313" i="6"/>
  <c r="G314" i="6"/>
  <c r="G315" i="6"/>
  <c r="G316" i="6"/>
  <c r="G317" i="6"/>
  <c r="G318" i="6"/>
  <c r="G319" i="6"/>
  <c r="G320" i="6"/>
  <c r="G321" i="6"/>
  <c r="G322" i="6"/>
  <c r="G323" i="6"/>
  <c r="G324" i="6"/>
  <c r="G325" i="6"/>
  <c r="G326" i="6"/>
  <c r="G327" i="6"/>
  <c r="G328" i="6"/>
  <c r="G329" i="6"/>
  <c r="G330" i="6"/>
  <c r="G331" i="6"/>
  <c r="G332" i="6"/>
  <c r="G333" i="6"/>
  <c r="G334" i="6"/>
  <c r="G335" i="6"/>
  <c r="G336" i="6"/>
  <c r="G337" i="6"/>
  <c r="G338" i="6"/>
  <c r="G339" i="6"/>
  <c r="G340" i="6"/>
  <c r="G341" i="6"/>
  <c r="G342" i="6"/>
  <c r="G343" i="6"/>
  <c r="G344" i="6"/>
  <c r="G345" i="6"/>
  <c r="G346" i="6"/>
  <c r="G347" i="6"/>
  <c r="G348" i="6"/>
  <c r="G349" i="6"/>
  <c r="G350" i="6"/>
  <c r="G351" i="6"/>
  <c r="G352" i="6"/>
  <c r="G353" i="6"/>
  <c r="G354" i="6"/>
  <c r="G355" i="6"/>
  <c r="G356" i="6"/>
  <c r="G357" i="6"/>
  <c r="G358" i="6"/>
  <c r="G359" i="6"/>
  <c r="G360" i="6"/>
  <c r="G361" i="6"/>
  <c r="G362" i="6"/>
  <c r="G363" i="6"/>
  <c r="G364" i="6"/>
  <c r="G365" i="6"/>
  <c r="G366" i="6"/>
  <c r="G367" i="6"/>
  <c r="G368" i="6"/>
  <c r="G369" i="6"/>
  <c r="G370" i="6"/>
  <c r="G371" i="6"/>
  <c r="G372" i="6"/>
  <c r="G373" i="6"/>
  <c r="G374" i="6"/>
  <c r="G375" i="6"/>
  <c r="G376" i="6"/>
  <c r="G377" i="6"/>
  <c r="G378" i="6"/>
  <c r="G379" i="6"/>
  <c r="G380" i="6"/>
  <c r="G381" i="6"/>
  <c r="G382" i="6"/>
  <c r="G383" i="6"/>
  <c r="G384" i="6"/>
  <c r="G385" i="6"/>
  <c r="G386" i="6"/>
  <c r="G387" i="6"/>
  <c r="G388" i="6"/>
  <c r="G389" i="6"/>
  <c r="G390" i="6"/>
  <c r="G391" i="6"/>
  <c r="G392" i="6"/>
  <c r="G393" i="6"/>
  <c r="G394" i="6"/>
  <c r="G395" i="6"/>
  <c r="G396" i="6"/>
  <c r="G397" i="6"/>
  <c r="G398" i="6"/>
  <c r="G399" i="6"/>
  <c r="G400" i="6"/>
  <c r="G401" i="6"/>
  <c r="G402" i="6"/>
  <c r="G403" i="6"/>
  <c r="G404" i="6"/>
  <c r="G405" i="6"/>
  <c r="G406" i="6"/>
  <c r="G407" i="6"/>
  <c r="G408" i="6"/>
  <c r="G409" i="6"/>
  <c r="G410" i="6"/>
  <c r="G411" i="6"/>
  <c r="G412" i="6"/>
  <c r="G413" i="6"/>
  <c r="G414" i="6"/>
  <c r="G415" i="6"/>
  <c r="G416" i="6"/>
  <c r="G417" i="6"/>
  <c r="G418" i="6"/>
  <c r="G419" i="6"/>
  <c r="G420" i="6"/>
  <c r="G421" i="6"/>
  <c r="G422" i="6"/>
  <c r="G423" i="6"/>
  <c r="G424" i="6"/>
  <c r="G425" i="6"/>
  <c r="G426" i="6"/>
  <c r="G427" i="6"/>
  <c r="G428" i="6"/>
  <c r="G429" i="6"/>
  <c r="G430" i="6"/>
  <c r="G431" i="6"/>
  <c r="G432" i="6"/>
  <c r="G433" i="6"/>
  <c r="G434" i="6"/>
  <c r="G435" i="6"/>
  <c r="G436" i="6"/>
  <c r="G437" i="6"/>
  <c r="G438" i="6"/>
  <c r="G439" i="6"/>
  <c r="G440" i="6"/>
  <c r="G441" i="6"/>
  <c r="G442" i="6"/>
  <c r="G443" i="6"/>
  <c r="G444" i="6"/>
  <c r="G445" i="6"/>
  <c r="G446" i="6"/>
  <c r="G447" i="6"/>
  <c r="G448" i="6"/>
  <c r="G449" i="6"/>
  <c r="G450" i="6"/>
  <c r="G451" i="6"/>
  <c r="G452" i="6"/>
  <c r="G453" i="6"/>
  <c r="G454" i="6"/>
  <c r="G455" i="6"/>
  <c r="G456" i="6"/>
  <c r="G457" i="6"/>
  <c r="G458" i="6"/>
  <c r="G459" i="6"/>
  <c r="G460" i="6"/>
  <c r="G461" i="6"/>
  <c r="G462" i="6"/>
  <c r="G463" i="6"/>
  <c r="G464" i="6"/>
  <c r="G465" i="6"/>
  <c r="G466" i="6"/>
  <c r="G467" i="6"/>
  <c r="G468" i="6"/>
  <c r="G469" i="6"/>
  <c r="G470" i="6"/>
  <c r="G471" i="6"/>
  <c r="G472" i="6"/>
  <c r="G473" i="6"/>
  <c r="G474" i="6"/>
  <c r="G475" i="6"/>
  <c r="G476" i="6"/>
  <c r="G477" i="6"/>
  <c r="G478" i="6"/>
  <c r="G479" i="6"/>
  <c r="G480" i="6"/>
  <c r="G481" i="6"/>
  <c r="G482" i="6"/>
  <c r="G483" i="6"/>
  <c r="G484" i="6"/>
  <c r="G485" i="6"/>
  <c r="G486" i="6"/>
  <c r="G487" i="6"/>
  <c r="G488" i="6"/>
  <c r="G489" i="6"/>
  <c r="G490" i="6"/>
  <c r="G491" i="6"/>
  <c r="G492" i="6"/>
  <c r="G493" i="6"/>
  <c r="G494" i="6"/>
  <c r="G495" i="6"/>
  <c r="G496" i="6"/>
  <c r="G497" i="6"/>
  <c r="G498" i="6"/>
  <c r="G499" i="6"/>
  <c r="G500" i="6"/>
  <c r="G501" i="6"/>
  <c r="G502" i="6"/>
  <c r="G503" i="6"/>
  <c r="G504" i="6"/>
  <c r="G505" i="6"/>
  <c r="G506" i="6"/>
  <c r="G507" i="6"/>
  <c r="G508" i="6"/>
  <c r="G509" i="6"/>
  <c r="G510" i="6"/>
  <c r="G511" i="6"/>
  <c r="G512" i="6"/>
  <c r="G513" i="6"/>
  <c r="G514" i="6"/>
  <c r="G515" i="6"/>
  <c r="G516" i="6"/>
  <c r="G517" i="6"/>
  <c r="G518" i="6"/>
  <c r="G519" i="6"/>
  <c r="G520" i="6"/>
  <c r="G521" i="6"/>
  <c r="G522" i="6"/>
  <c r="G523" i="6"/>
  <c r="G524" i="6"/>
  <c r="G525" i="6"/>
  <c r="G526" i="6"/>
  <c r="G527" i="6"/>
  <c r="G528" i="6"/>
  <c r="G529" i="6"/>
  <c r="G530" i="6"/>
  <c r="G531" i="6"/>
  <c r="G532" i="6"/>
  <c r="G533" i="6"/>
  <c r="G534" i="6"/>
  <c r="G535" i="6"/>
  <c r="G536" i="6"/>
  <c r="G537" i="6"/>
  <c r="G538" i="6"/>
  <c r="G539" i="6"/>
  <c r="G540" i="6"/>
  <c r="G541" i="6"/>
  <c r="G542" i="6"/>
  <c r="G543" i="6"/>
  <c r="G544" i="6"/>
  <c r="G545" i="6"/>
  <c r="G546" i="6"/>
  <c r="G547" i="6"/>
  <c r="G548" i="6"/>
  <c r="G549" i="6"/>
  <c r="G550" i="6"/>
  <c r="G551" i="6"/>
  <c r="G552" i="6"/>
  <c r="G553" i="6"/>
  <c r="G554" i="6"/>
  <c r="G555" i="6"/>
  <c r="G556" i="6"/>
  <c r="G557" i="6"/>
  <c r="G558" i="6"/>
  <c r="G559" i="6"/>
  <c r="G560" i="6"/>
  <c r="G561" i="6"/>
  <c r="G562" i="6"/>
  <c r="G563" i="6"/>
  <c r="G564" i="6"/>
  <c r="G565" i="6"/>
  <c r="G566" i="6"/>
  <c r="G567" i="6"/>
  <c r="G568" i="6"/>
  <c r="G569" i="6"/>
  <c r="G570" i="6"/>
  <c r="G571" i="6"/>
  <c r="G572" i="6"/>
  <c r="G573" i="6"/>
  <c r="G574" i="6"/>
  <c r="G575" i="6"/>
  <c r="G576" i="6"/>
  <c r="G577" i="6"/>
  <c r="G578" i="6"/>
  <c r="G579" i="6"/>
  <c r="G580" i="6"/>
  <c r="G581" i="6"/>
  <c r="G582" i="6"/>
  <c r="G583" i="6"/>
  <c r="G584" i="6"/>
  <c r="G585" i="6"/>
  <c r="G586" i="6"/>
  <c r="G587" i="6"/>
  <c r="G588" i="6"/>
  <c r="G589" i="6"/>
  <c r="G590" i="6"/>
  <c r="G591" i="6"/>
  <c r="G592" i="6"/>
  <c r="G593" i="6"/>
  <c r="G594" i="6"/>
  <c r="G595" i="6"/>
  <c r="G596" i="6"/>
  <c r="G597" i="6"/>
  <c r="G598" i="6"/>
  <c r="G599" i="6"/>
  <c r="G600" i="6"/>
  <c r="G601" i="6"/>
  <c r="G602" i="6"/>
  <c r="G603" i="6"/>
  <c r="G604" i="6"/>
  <c r="G605" i="6"/>
  <c r="G606" i="6"/>
  <c r="G607" i="6"/>
  <c r="G608" i="6"/>
  <c r="G609" i="6"/>
  <c r="G610" i="6"/>
  <c r="G611" i="6"/>
  <c r="G612" i="6"/>
  <c r="G613" i="6"/>
  <c r="G614" i="6"/>
  <c r="G615" i="6"/>
  <c r="G616" i="6"/>
  <c r="G617" i="6"/>
  <c r="G618" i="6"/>
  <c r="G619" i="6"/>
  <c r="G620" i="6"/>
  <c r="G621" i="6"/>
  <c r="G622" i="6"/>
  <c r="G623" i="6"/>
  <c r="G624" i="6"/>
  <c r="G625" i="6"/>
  <c r="G626" i="6"/>
  <c r="G627" i="6"/>
  <c r="G628" i="6"/>
  <c r="G629" i="6"/>
  <c r="G630" i="6"/>
  <c r="G631" i="6"/>
  <c r="G632" i="6"/>
  <c r="G633" i="6"/>
  <c r="G634" i="6"/>
  <c r="G635" i="6"/>
  <c r="G636" i="6"/>
  <c r="G637" i="6"/>
  <c r="G638" i="6"/>
  <c r="G639" i="6"/>
  <c r="G640" i="6"/>
  <c r="G641" i="6"/>
  <c r="G642" i="6"/>
  <c r="G643" i="6"/>
  <c r="G644" i="6"/>
  <c r="G645" i="6"/>
  <c r="G646" i="6"/>
  <c r="G647" i="6"/>
  <c r="G648" i="6"/>
  <c r="G649" i="6"/>
  <c r="G650" i="6"/>
  <c r="G651" i="6"/>
  <c r="G652" i="6"/>
  <c r="G653" i="6"/>
  <c r="G654" i="6"/>
  <c r="G655" i="6"/>
  <c r="G656" i="6"/>
  <c r="G657" i="6"/>
  <c r="G658" i="6"/>
  <c r="G659" i="6"/>
  <c r="G660" i="6"/>
  <c r="G661" i="6"/>
  <c r="G662" i="6"/>
  <c r="G663" i="6"/>
  <c r="G664" i="6"/>
  <c r="G665" i="6"/>
  <c r="G666" i="6"/>
  <c r="G667" i="6"/>
  <c r="G668" i="6"/>
  <c r="G669" i="6"/>
  <c r="G670" i="6"/>
  <c r="G671" i="6"/>
  <c r="G672" i="6"/>
  <c r="G673" i="6"/>
  <c r="G674" i="6"/>
  <c r="G675" i="6"/>
  <c r="G676" i="6"/>
  <c r="G677" i="6"/>
  <c r="G678" i="6"/>
  <c r="G679" i="6"/>
  <c r="G680" i="6"/>
  <c r="G681" i="6"/>
  <c r="G682" i="6"/>
  <c r="G683" i="6"/>
  <c r="G684" i="6"/>
  <c r="G685" i="6"/>
  <c r="G686" i="6"/>
  <c r="G687" i="6"/>
  <c r="G688" i="6"/>
  <c r="G689" i="6"/>
  <c r="G690" i="6"/>
  <c r="G691" i="6"/>
  <c r="G692" i="6"/>
  <c r="G693" i="6"/>
  <c r="G694" i="6"/>
  <c r="G695" i="6"/>
  <c r="G696" i="6"/>
  <c r="G697" i="6"/>
  <c r="G698" i="6"/>
  <c r="G699" i="6"/>
  <c r="G700" i="6"/>
  <c r="G701" i="6"/>
  <c r="G702" i="6"/>
  <c r="G703" i="6"/>
  <c r="G704" i="6"/>
  <c r="G705" i="6"/>
  <c r="G706" i="6"/>
  <c r="G707" i="6"/>
  <c r="G708" i="6"/>
  <c r="G709" i="6"/>
  <c r="G710" i="6"/>
  <c r="G711" i="6"/>
  <c r="G712" i="6"/>
  <c r="G713" i="6"/>
  <c r="G714" i="6"/>
  <c r="G715" i="6"/>
  <c r="G716" i="6"/>
  <c r="G717" i="6"/>
  <c r="G718" i="6"/>
  <c r="G719" i="6"/>
  <c r="G720" i="6"/>
  <c r="G721" i="6"/>
  <c r="G722" i="6"/>
  <c r="G723" i="6"/>
  <c r="G724" i="6"/>
  <c r="G725" i="6"/>
  <c r="G726" i="6"/>
  <c r="G727" i="6"/>
  <c r="G728" i="6"/>
  <c r="G729" i="6"/>
  <c r="G730" i="6"/>
  <c r="G731" i="6"/>
  <c r="G732" i="6"/>
  <c r="G733" i="6"/>
  <c r="G734" i="6"/>
  <c r="G735" i="6"/>
  <c r="G736" i="6"/>
  <c r="G737" i="6"/>
  <c r="G738" i="6"/>
  <c r="G739" i="6"/>
  <c r="G740" i="6"/>
  <c r="G741" i="6"/>
  <c r="G742" i="6"/>
  <c r="G743" i="6"/>
  <c r="G744" i="6"/>
  <c r="G745" i="6"/>
  <c r="G746" i="6"/>
  <c r="G747" i="6"/>
  <c r="G748" i="6"/>
  <c r="G749" i="6"/>
  <c r="G750" i="6"/>
  <c r="G751" i="6"/>
  <c r="G752" i="6"/>
  <c r="G753" i="6"/>
  <c r="G754" i="6"/>
  <c r="G755" i="6"/>
  <c r="G756" i="6"/>
  <c r="G757" i="6"/>
  <c r="G758" i="6"/>
  <c r="G759" i="6"/>
  <c r="G760" i="6"/>
  <c r="G761" i="6"/>
  <c r="G762" i="6"/>
  <c r="G763" i="6"/>
  <c r="G764" i="6"/>
  <c r="G765" i="6"/>
  <c r="G766" i="6"/>
  <c r="G767" i="6"/>
  <c r="G768" i="6"/>
  <c r="G769" i="6"/>
  <c r="G770" i="6"/>
  <c r="G771" i="6"/>
  <c r="G772" i="6"/>
  <c r="G773" i="6"/>
  <c r="G774" i="6"/>
  <c r="G775" i="6"/>
  <c r="G776" i="6"/>
  <c r="G777" i="6"/>
  <c r="G778" i="6"/>
  <c r="G779" i="6"/>
  <c r="G780" i="6"/>
  <c r="G781" i="6"/>
  <c r="G782" i="6"/>
  <c r="G783" i="6"/>
  <c r="G784" i="6"/>
  <c r="G785" i="6"/>
  <c r="G786" i="6"/>
  <c r="G787" i="6"/>
  <c r="G788" i="6"/>
  <c r="G789" i="6"/>
  <c r="G790" i="6"/>
  <c r="G791" i="6"/>
  <c r="G792" i="6"/>
  <c r="G793" i="6"/>
  <c r="G794" i="6"/>
  <c r="G795" i="6"/>
  <c r="G796" i="6"/>
  <c r="G797" i="6"/>
  <c r="G798" i="6"/>
  <c r="G799" i="6"/>
  <c r="G800" i="6"/>
  <c r="G801" i="6"/>
  <c r="G802" i="6"/>
  <c r="G803" i="6"/>
  <c r="G804" i="6"/>
  <c r="G805" i="6"/>
  <c r="G806" i="6"/>
  <c r="G807" i="6"/>
  <c r="G808" i="6"/>
  <c r="G809" i="6"/>
  <c r="G810" i="6"/>
  <c r="G811" i="6"/>
  <c r="G812" i="6"/>
  <c r="G813" i="6"/>
  <c r="G814" i="6"/>
  <c r="G815" i="6"/>
  <c r="G816" i="6"/>
  <c r="G817" i="6"/>
  <c r="G818" i="6"/>
  <c r="G819" i="6"/>
  <c r="G820" i="6"/>
  <c r="G821" i="6"/>
  <c r="G822" i="6"/>
  <c r="G823" i="6"/>
  <c r="G824" i="6"/>
  <c r="G825" i="6"/>
  <c r="G826" i="6"/>
  <c r="G827" i="6"/>
  <c r="G828" i="6"/>
  <c r="G829" i="6"/>
  <c r="G830" i="6"/>
  <c r="G831" i="6"/>
  <c r="G832" i="6"/>
  <c r="G833" i="6"/>
  <c r="G834" i="6"/>
  <c r="G835" i="6"/>
  <c r="G836" i="6"/>
  <c r="G837" i="6"/>
  <c r="G838" i="6"/>
  <c r="G839" i="6"/>
  <c r="G840" i="6"/>
  <c r="G841" i="6"/>
  <c r="G842" i="6"/>
  <c r="G843" i="6"/>
  <c r="G844" i="6"/>
  <c r="G845" i="6"/>
  <c r="G846" i="6"/>
  <c r="G847" i="6"/>
  <c r="G848" i="6"/>
  <c r="G849" i="6"/>
  <c r="G850" i="6"/>
  <c r="G851" i="6"/>
  <c r="G852" i="6"/>
  <c r="G853" i="6"/>
  <c r="G854" i="6"/>
  <c r="G855" i="6"/>
  <c r="G856" i="6"/>
  <c r="G857" i="6"/>
  <c r="G858" i="6"/>
  <c r="G859" i="6"/>
  <c r="G860" i="6"/>
  <c r="G861" i="6"/>
  <c r="G862" i="6"/>
  <c r="G863" i="6"/>
  <c r="G864" i="6"/>
  <c r="G865" i="6"/>
  <c r="G866" i="6"/>
  <c r="G867" i="6"/>
  <c r="G868" i="6"/>
  <c r="G869" i="6"/>
  <c r="G870" i="6"/>
  <c r="G871" i="6"/>
  <c r="G872" i="6"/>
  <c r="G873" i="6"/>
  <c r="G874" i="6"/>
  <c r="G875" i="6"/>
  <c r="G876" i="6"/>
  <c r="G877" i="6"/>
  <c r="G878" i="6"/>
  <c r="G879" i="6"/>
  <c r="G880" i="6"/>
  <c r="G881" i="6"/>
  <c r="G882" i="6"/>
  <c r="G883" i="6"/>
  <c r="G884" i="6"/>
  <c r="G885" i="6"/>
  <c r="G886" i="6"/>
  <c r="G887" i="6"/>
  <c r="G888" i="6"/>
  <c r="G889" i="6"/>
  <c r="G890" i="6"/>
  <c r="G891" i="6"/>
  <c r="G892" i="6"/>
  <c r="G893" i="6"/>
  <c r="G894" i="6"/>
  <c r="G895" i="6"/>
  <c r="G896" i="6"/>
  <c r="G897" i="6"/>
  <c r="G898" i="6"/>
  <c r="G899" i="6"/>
  <c r="G900" i="6"/>
  <c r="G901" i="6"/>
  <c r="G902" i="6"/>
  <c r="G903" i="6"/>
  <c r="G904" i="6"/>
  <c r="G905" i="6"/>
  <c r="G906" i="6"/>
  <c r="G907" i="6"/>
  <c r="G908" i="6"/>
  <c r="G909" i="6"/>
  <c r="G910" i="6"/>
  <c r="G911" i="6"/>
  <c r="G912" i="6"/>
  <c r="G913" i="6"/>
  <c r="G914" i="6"/>
  <c r="G915" i="6"/>
  <c r="G916" i="6"/>
  <c r="G917" i="6"/>
  <c r="G918" i="6"/>
  <c r="G919" i="6"/>
  <c r="G920" i="6"/>
  <c r="G921" i="6"/>
  <c r="G922" i="6"/>
  <c r="G923" i="6"/>
  <c r="G924" i="6"/>
  <c r="G925" i="6"/>
  <c r="G926" i="6"/>
  <c r="G927" i="6"/>
  <c r="G928" i="6"/>
  <c r="G929" i="6"/>
  <c r="G930" i="6"/>
  <c r="G931" i="6"/>
  <c r="G932" i="6"/>
  <c r="G933" i="6"/>
  <c r="G934" i="6"/>
  <c r="G935" i="6"/>
  <c r="G936" i="6"/>
  <c r="G937" i="6"/>
  <c r="G938" i="6"/>
  <c r="G939" i="6"/>
  <c r="G940" i="6"/>
  <c r="G941" i="6"/>
  <c r="G942" i="6"/>
  <c r="G943" i="6"/>
  <c r="G944" i="6"/>
  <c r="G945" i="6"/>
  <c r="G946" i="6"/>
  <c r="G947" i="6"/>
  <c r="G948" i="6"/>
  <c r="G949" i="6"/>
  <c r="G950" i="6"/>
  <c r="G951" i="6"/>
  <c r="G952" i="6"/>
  <c r="G953" i="6"/>
  <c r="G954" i="6"/>
  <c r="G955" i="6"/>
  <c r="G956" i="6"/>
  <c r="G957" i="6"/>
  <c r="G958" i="6"/>
  <c r="G959" i="6"/>
  <c r="G960" i="6"/>
  <c r="G961" i="6"/>
  <c r="G962" i="6"/>
  <c r="G963" i="6"/>
  <c r="G964" i="6"/>
  <c r="G965" i="6"/>
  <c r="G966" i="6"/>
  <c r="G967" i="6"/>
  <c r="G968" i="6"/>
  <c r="G969" i="6"/>
  <c r="G970" i="6"/>
  <c r="G971" i="6"/>
  <c r="G972" i="6"/>
  <c r="G973" i="6"/>
  <c r="G974" i="6"/>
  <c r="G975" i="6"/>
  <c r="G976" i="6"/>
  <c r="G977" i="6"/>
  <c r="G978" i="6"/>
  <c r="G979" i="6"/>
  <c r="G980" i="6"/>
  <c r="G981" i="6"/>
  <c r="G982" i="6"/>
  <c r="G983" i="6"/>
  <c r="G984" i="6"/>
  <c r="G985" i="6"/>
  <c r="G986" i="6"/>
  <c r="G987" i="6"/>
  <c r="G988" i="6"/>
  <c r="G989" i="6"/>
  <c r="G990" i="6"/>
  <c r="G991" i="6"/>
  <c r="G992" i="6"/>
  <c r="G993" i="6"/>
  <c r="G994" i="6"/>
  <c r="G995" i="6"/>
  <c r="G996" i="6"/>
  <c r="G997" i="6"/>
  <c r="G998" i="6"/>
  <c r="G999" i="6"/>
  <c r="G1000" i="6"/>
  <c r="G1001" i="6"/>
  <c r="G1002" i="6"/>
  <c r="G1003" i="6"/>
  <c r="G1004" i="6"/>
  <c r="G1005" i="6"/>
  <c r="G1006" i="6"/>
  <c r="G1007" i="6"/>
  <c r="G1008" i="6"/>
  <c r="G1009" i="6"/>
  <c r="G1010" i="6"/>
  <c r="G1011" i="6"/>
  <c r="G1012" i="6"/>
  <c r="G1013" i="6"/>
  <c r="G1014" i="6"/>
  <c r="G1015" i="6"/>
  <c r="G1016" i="6"/>
  <c r="G1017" i="6"/>
  <c r="G1018" i="6"/>
  <c r="G1019" i="6"/>
  <c r="G1020" i="6"/>
  <c r="G1021" i="6"/>
  <c r="G1022" i="6"/>
  <c r="G1023" i="6"/>
  <c r="G1024" i="6"/>
  <c r="G1025" i="6"/>
  <c r="G1026" i="6"/>
  <c r="G1027" i="6"/>
  <c r="G1028" i="6"/>
  <c r="G1029" i="6"/>
  <c r="G1030" i="6"/>
  <c r="G1031" i="6"/>
  <c r="G1032" i="6"/>
  <c r="G1033" i="6"/>
  <c r="G1034" i="6"/>
  <c r="G1035" i="6"/>
  <c r="G1036" i="6"/>
  <c r="G1037" i="6"/>
  <c r="G1038" i="6"/>
  <c r="G1039" i="6"/>
  <c r="G1040" i="6"/>
  <c r="G1041" i="6"/>
  <c r="G1042" i="6"/>
  <c r="G1043" i="6"/>
  <c r="G1044" i="6"/>
  <c r="G1045" i="6"/>
  <c r="G1046" i="6"/>
  <c r="G1047" i="6"/>
  <c r="G1048" i="6"/>
  <c r="G1049" i="6"/>
  <c r="G1050" i="6"/>
  <c r="G1051" i="6"/>
  <c r="G1052" i="6"/>
  <c r="G1053" i="6"/>
  <c r="G1054" i="6"/>
  <c r="G1055" i="6"/>
  <c r="G1056" i="6"/>
  <c r="G1057" i="6"/>
  <c r="G1058" i="6"/>
  <c r="G1059" i="6"/>
  <c r="G1060" i="6"/>
  <c r="G1061" i="6"/>
  <c r="G1062" i="6"/>
  <c r="G1063" i="6"/>
  <c r="G1064" i="6"/>
  <c r="G1065" i="6"/>
  <c r="G1066" i="6"/>
  <c r="G1067" i="6"/>
  <c r="G1068" i="6"/>
  <c r="G1069" i="6"/>
  <c r="G1070" i="6"/>
  <c r="G1071" i="6"/>
  <c r="G1072" i="6"/>
  <c r="G1073" i="6"/>
  <c r="G1074" i="6"/>
  <c r="G1075" i="6"/>
  <c r="G1076" i="6"/>
  <c r="G1077" i="6"/>
  <c r="G1078" i="6"/>
  <c r="G1079" i="6"/>
  <c r="G1080" i="6"/>
  <c r="G1081" i="6"/>
  <c r="G1082" i="6"/>
  <c r="G1083" i="6"/>
  <c r="G1084" i="6"/>
  <c r="G1085" i="6"/>
  <c r="G1086" i="6"/>
  <c r="G1087" i="6"/>
  <c r="G1088" i="6"/>
  <c r="G1089" i="6"/>
  <c r="G1090" i="6"/>
  <c r="G1091" i="6"/>
  <c r="G1092" i="6"/>
  <c r="G1093" i="6"/>
  <c r="G1094" i="6"/>
  <c r="G1095" i="6"/>
  <c r="G1096" i="6"/>
  <c r="G1097" i="6"/>
  <c r="G1098" i="6"/>
  <c r="G1099" i="6"/>
  <c r="G1100" i="6"/>
  <c r="G1101" i="6"/>
  <c r="G1102" i="6"/>
  <c r="G1103" i="6"/>
  <c r="G1104" i="6"/>
  <c r="G1105" i="6"/>
  <c r="G1106" i="6"/>
  <c r="G1107" i="6"/>
  <c r="G1108" i="6"/>
  <c r="G1109" i="6"/>
  <c r="G1110" i="6"/>
  <c r="G1111" i="6"/>
  <c r="G1112" i="6"/>
  <c r="G1113" i="6"/>
  <c r="G1114" i="6"/>
  <c r="G1115" i="6"/>
  <c r="G1116" i="6"/>
  <c r="G1117" i="6"/>
  <c r="G1118" i="6"/>
  <c r="G1119" i="6"/>
  <c r="G1120" i="6"/>
  <c r="G1121" i="6"/>
  <c r="G1122" i="6"/>
  <c r="G1123" i="6"/>
  <c r="G1124" i="6"/>
  <c r="G1125" i="6"/>
  <c r="G1126" i="6"/>
  <c r="G1127" i="6"/>
  <c r="G1128" i="6"/>
  <c r="G1129" i="6"/>
  <c r="G1130" i="6"/>
  <c r="G1131" i="6"/>
  <c r="G1132" i="6"/>
  <c r="G1133" i="6"/>
  <c r="G1134" i="6"/>
  <c r="G1135" i="6"/>
  <c r="G1136" i="6"/>
  <c r="G1137" i="6"/>
  <c r="G1138" i="6"/>
  <c r="G1139" i="6"/>
  <c r="G1140" i="6"/>
  <c r="G1141" i="6"/>
  <c r="G1142" i="6"/>
  <c r="G1143" i="6"/>
  <c r="G1144" i="6"/>
  <c r="G1145" i="6"/>
  <c r="G1146" i="6"/>
  <c r="G1147" i="6"/>
  <c r="G1148" i="6"/>
  <c r="G1149" i="6"/>
  <c r="G1150" i="6"/>
  <c r="G1151" i="6"/>
  <c r="G1152" i="6"/>
  <c r="G1153" i="6"/>
  <c r="G1154" i="6"/>
  <c r="G1155" i="6"/>
  <c r="G1156" i="6"/>
  <c r="G1157" i="6"/>
  <c r="G1158" i="6"/>
  <c r="G1159" i="6"/>
  <c r="G1160" i="6"/>
  <c r="G1161" i="6"/>
  <c r="G1162" i="6"/>
  <c r="G1163" i="6"/>
  <c r="G1164" i="6"/>
  <c r="G1165" i="6"/>
  <c r="G1166" i="6"/>
  <c r="G1167" i="6"/>
  <c r="G1168" i="6"/>
  <c r="G1169" i="6"/>
  <c r="G1170" i="6"/>
  <c r="G1171" i="6"/>
  <c r="G1172" i="6"/>
  <c r="G1173" i="6"/>
  <c r="G1174" i="6"/>
  <c r="G1175" i="6"/>
  <c r="G1176" i="6"/>
  <c r="G1177" i="6"/>
  <c r="G1178" i="6"/>
  <c r="G1179" i="6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2" i="6"/>
  <c r="H303" i="6"/>
  <c r="H304" i="6"/>
  <c r="H305" i="6"/>
  <c r="H306" i="6"/>
  <c r="H307" i="6"/>
  <c r="H308" i="6"/>
  <c r="H309" i="6"/>
  <c r="H310" i="6"/>
  <c r="H311" i="6"/>
  <c r="H312" i="6"/>
  <c r="H313" i="6"/>
  <c r="H314" i="6"/>
  <c r="H315" i="6"/>
  <c r="H316" i="6"/>
  <c r="H317" i="6"/>
  <c r="H318" i="6"/>
  <c r="H319" i="6"/>
  <c r="H320" i="6"/>
  <c r="H321" i="6"/>
  <c r="H322" i="6"/>
  <c r="H323" i="6"/>
  <c r="H324" i="6"/>
  <c r="H325" i="6"/>
  <c r="H326" i="6"/>
  <c r="H327" i="6"/>
  <c r="H328" i="6"/>
  <c r="H329" i="6"/>
  <c r="H330" i="6"/>
  <c r="H331" i="6"/>
  <c r="H332" i="6"/>
  <c r="H333" i="6"/>
  <c r="H334" i="6"/>
  <c r="H335" i="6"/>
  <c r="H336" i="6"/>
  <c r="H337" i="6"/>
  <c r="H338" i="6"/>
  <c r="H339" i="6"/>
  <c r="H340" i="6"/>
  <c r="H341" i="6"/>
  <c r="H342" i="6"/>
  <c r="H343" i="6"/>
  <c r="H344" i="6"/>
  <c r="H345" i="6"/>
  <c r="H346" i="6"/>
  <c r="H347" i="6"/>
  <c r="H348" i="6"/>
  <c r="H349" i="6"/>
  <c r="H350" i="6"/>
  <c r="H351" i="6"/>
  <c r="H352" i="6"/>
  <c r="H353" i="6"/>
  <c r="H354" i="6"/>
  <c r="H355" i="6"/>
  <c r="H356" i="6"/>
  <c r="H357" i="6"/>
  <c r="H358" i="6"/>
  <c r="H359" i="6"/>
  <c r="H360" i="6"/>
  <c r="H361" i="6"/>
  <c r="H362" i="6"/>
  <c r="H363" i="6"/>
  <c r="H364" i="6"/>
  <c r="H365" i="6"/>
  <c r="H366" i="6"/>
  <c r="H367" i="6"/>
  <c r="H368" i="6"/>
  <c r="H369" i="6"/>
  <c r="H370" i="6"/>
  <c r="H371" i="6"/>
  <c r="H372" i="6"/>
  <c r="H373" i="6"/>
  <c r="H374" i="6"/>
  <c r="H375" i="6"/>
  <c r="H376" i="6"/>
  <c r="H377" i="6"/>
  <c r="H378" i="6"/>
  <c r="H379" i="6"/>
  <c r="H380" i="6"/>
  <c r="H381" i="6"/>
  <c r="H382" i="6"/>
  <c r="H383" i="6"/>
  <c r="H384" i="6"/>
  <c r="H385" i="6"/>
  <c r="H386" i="6"/>
  <c r="H387" i="6"/>
  <c r="H388" i="6"/>
  <c r="H389" i="6"/>
  <c r="H390" i="6"/>
  <c r="H391" i="6"/>
  <c r="H392" i="6"/>
  <c r="H393" i="6"/>
  <c r="H394" i="6"/>
  <c r="H395" i="6"/>
  <c r="H396" i="6"/>
  <c r="H397" i="6"/>
  <c r="H398" i="6"/>
  <c r="H399" i="6"/>
  <c r="H400" i="6"/>
  <c r="H401" i="6"/>
  <c r="H402" i="6"/>
  <c r="H403" i="6"/>
  <c r="H404" i="6"/>
  <c r="H405" i="6"/>
  <c r="H406" i="6"/>
  <c r="H407" i="6"/>
  <c r="H408" i="6"/>
  <c r="H409" i="6"/>
  <c r="H410" i="6"/>
  <c r="H411" i="6"/>
  <c r="H412" i="6"/>
  <c r="H413" i="6"/>
  <c r="H414" i="6"/>
  <c r="H415" i="6"/>
  <c r="H416" i="6"/>
  <c r="H417" i="6"/>
  <c r="H418" i="6"/>
  <c r="H419" i="6"/>
  <c r="H420" i="6"/>
  <c r="H421" i="6"/>
  <c r="H422" i="6"/>
  <c r="H423" i="6"/>
  <c r="H424" i="6"/>
  <c r="H425" i="6"/>
  <c r="H426" i="6"/>
  <c r="H427" i="6"/>
  <c r="H428" i="6"/>
  <c r="H429" i="6"/>
  <c r="H430" i="6"/>
  <c r="H431" i="6"/>
  <c r="H432" i="6"/>
  <c r="H433" i="6"/>
  <c r="H434" i="6"/>
  <c r="H435" i="6"/>
  <c r="H436" i="6"/>
  <c r="H437" i="6"/>
  <c r="H438" i="6"/>
  <c r="H439" i="6"/>
  <c r="H440" i="6"/>
  <c r="H441" i="6"/>
  <c r="H442" i="6"/>
  <c r="H443" i="6"/>
  <c r="H444" i="6"/>
  <c r="H445" i="6"/>
  <c r="H446" i="6"/>
  <c r="H447" i="6"/>
  <c r="H448" i="6"/>
  <c r="H449" i="6"/>
  <c r="H450" i="6"/>
  <c r="H451" i="6"/>
  <c r="H452" i="6"/>
  <c r="H453" i="6"/>
  <c r="H454" i="6"/>
  <c r="H455" i="6"/>
  <c r="H456" i="6"/>
  <c r="H457" i="6"/>
  <c r="H458" i="6"/>
  <c r="H459" i="6"/>
  <c r="H460" i="6"/>
  <c r="H461" i="6"/>
  <c r="H462" i="6"/>
  <c r="H463" i="6"/>
  <c r="H464" i="6"/>
  <c r="H465" i="6"/>
  <c r="H466" i="6"/>
  <c r="H467" i="6"/>
  <c r="H468" i="6"/>
  <c r="H469" i="6"/>
  <c r="H470" i="6"/>
  <c r="H471" i="6"/>
  <c r="H472" i="6"/>
  <c r="H473" i="6"/>
  <c r="H474" i="6"/>
  <c r="H475" i="6"/>
  <c r="H476" i="6"/>
  <c r="H477" i="6"/>
  <c r="H478" i="6"/>
  <c r="H479" i="6"/>
  <c r="H480" i="6"/>
  <c r="H481" i="6"/>
  <c r="H482" i="6"/>
  <c r="H483" i="6"/>
  <c r="H484" i="6"/>
  <c r="H485" i="6"/>
  <c r="H486" i="6"/>
  <c r="H487" i="6"/>
  <c r="H488" i="6"/>
  <c r="H489" i="6"/>
  <c r="H490" i="6"/>
  <c r="H491" i="6"/>
  <c r="H492" i="6"/>
  <c r="H493" i="6"/>
  <c r="H494" i="6"/>
  <c r="H495" i="6"/>
  <c r="H496" i="6"/>
  <c r="H497" i="6"/>
  <c r="H498" i="6"/>
  <c r="H499" i="6"/>
  <c r="H500" i="6"/>
  <c r="H501" i="6"/>
  <c r="H502" i="6"/>
  <c r="H503" i="6"/>
  <c r="H504" i="6"/>
  <c r="H505" i="6"/>
  <c r="H506" i="6"/>
  <c r="H507" i="6"/>
  <c r="H508" i="6"/>
  <c r="H509" i="6"/>
  <c r="H510" i="6"/>
  <c r="H511" i="6"/>
  <c r="H512" i="6"/>
  <c r="H513" i="6"/>
  <c r="H514" i="6"/>
  <c r="H515" i="6"/>
  <c r="H516" i="6"/>
  <c r="H517" i="6"/>
  <c r="H518" i="6"/>
  <c r="H519" i="6"/>
  <c r="H520" i="6"/>
  <c r="H521" i="6"/>
  <c r="H522" i="6"/>
  <c r="H523" i="6"/>
  <c r="H524" i="6"/>
  <c r="H525" i="6"/>
  <c r="H526" i="6"/>
  <c r="H527" i="6"/>
  <c r="H528" i="6"/>
  <c r="H529" i="6"/>
  <c r="H530" i="6"/>
  <c r="H531" i="6"/>
  <c r="H532" i="6"/>
  <c r="H533" i="6"/>
  <c r="H534" i="6"/>
  <c r="H535" i="6"/>
  <c r="H536" i="6"/>
  <c r="H537" i="6"/>
  <c r="H538" i="6"/>
  <c r="H539" i="6"/>
  <c r="H540" i="6"/>
  <c r="H541" i="6"/>
  <c r="H542" i="6"/>
  <c r="H543" i="6"/>
  <c r="H544" i="6"/>
  <c r="H545" i="6"/>
  <c r="H546" i="6"/>
  <c r="H547" i="6"/>
  <c r="H548" i="6"/>
  <c r="H549" i="6"/>
  <c r="H550" i="6"/>
  <c r="H551" i="6"/>
  <c r="H552" i="6"/>
  <c r="H553" i="6"/>
  <c r="H554" i="6"/>
  <c r="H555" i="6"/>
  <c r="H556" i="6"/>
  <c r="H557" i="6"/>
  <c r="H558" i="6"/>
  <c r="H559" i="6"/>
  <c r="H560" i="6"/>
  <c r="H561" i="6"/>
  <c r="H562" i="6"/>
  <c r="H563" i="6"/>
  <c r="H564" i="6"/>
  <c r="H565" i="6"/>
  <c r="H566" i="6"/>
  <c r="H567" i="6"/>
  <c r="H568" i="6"/>
  <c r="H569" i="6"/>
  <c r="H570" i="6"/>
  <c r="H571" i="6"/>
  <c r="H572" i="6"/>
  <c r="H573" i="6"/>
  <c r="H574" i="6"/>
  <c r="H575" i="6"/>
  <c r="H576" i="6"/>
  <c r="H577" i="6"/>
  <c r="H578" i="6"/>
  <c r="H579" i="6"/>
  <c r="H580" i="6"/>
  <c r="H581" i="6"/>
  <c r="H582" i="6"/>
  <c r="H583" i="6"/>
  <c r="H584" i="6"/>
  <c r="H585" i="6"/>
  <c r="H586" i="6"/>
  <c r="H587" i="6"/>
  <c r="H588" i="6"/>
  <c r="H589" i="6"/>
  <c r="H590" i="6"/>
  <c r="H591" i="6"/>
  <c r="H592" i="6"/>
  <c r="H593" i="6"/>
  <c r="H594" i="6"/>
  <c r="H595" i="6"/>
  <c r="H596" i="6"/>
  <c r="H597" i="6"/>
  <c r="H598" i="6"/>
  <c r="H599" i="6"/>
  <c r="H600" i="6"/>
  <c r="H601" i="6"/>
  <c r="H602" i="6"/>
  <c r="H603" i="6"/>
  <c r="H604" i="6"/>
  <c r="H605" i="6"/>
  <c r="H606" i="6"/>
  <c r="H607" i="6"/>
  <c r="H608" i="6"/>
  <c r="H609" i="6"/>
  <c r="H610" i="6"/>
  <c r="H611" i="6"/>
  <c r="H612" i="6"/>
  <c r="H613" i="6"/>
  <c r="H614" i="6"/>
  <c r="H615" i="6"/>
  <c r="H616" i="6"/>
  <c r="H617" i="6"/>
  <c r="H618" i="6"/>
  <c r="H619" i="6"/>
  <c r="H620" i="6"/>
  <c r="H621" i="6"/>
  <c r="H622" i="6"/>
  <c r="H623" i="6"/>
  <c r="H624" i="6"/>
  <c r="H625" i="6"/>
  <c r="H626" i="6"/>
  <c r="H627" i="6"/>
  <c r="H628" i="6"/>
  <c r="H629" i="6"/>
  <c r="H630" i="6"/>
  <c r="H631" i="6"/>
  <c r="H632" i="6"/>
  <c r="H633" i="6"/>
  <c r="H634" i="6"/>
  <c r="H635" i="6"/>
  <c r="H636" i="6"/>
  <c r="H637" i="6"/>
  <c r="H638" i="6"/>
  <c r="H639" i="6"/>
  <c r="H640" i="6"/>
  <c r="H641" i="6"/>
  <c r="H642" i="6"/>
  <c r="H643" i="6"/>
  <c r="H644" i="6"/>
  <c r="H645" i="6"/>
  <c r="H646" i="6"/>
  <c r="H647" i="6"/>
  <c r="H648" i="6"/>
  <c r="H649" i="6"/>
  <c r="H650" i="6"/>
  <c r="H651" i="6"/>
  <c r="H652" i="6"/>
  <c r="H653" i="6"/>
  <c r="H654" i="6"/>
  <c r="H655" i="6"/>
  <c r="H656" i="6"/>
  <c r="H657" i="6"/>
  <c r="H658" i="6"/>
  <c r="H659" i="6"/>
  <c r="H660" i="6"/>
  <c r="H661" i="6"/>
  <c r="H662" i="6"/>
  <c r="H663" i="6"/>
  <c r="H664" i="6"/>
  <c r="H665" i="6"/>
  <c r="H666" i="6"/>
  <c r="H667" i="6"/>
  <c r="H668" i="6"/>
  <c r="H669" i="6"/>
  <c r="H670" i="6"/>
  <c r="H671" i="6"/>
  <c r="H672" i="6"/>
  <c r="H673" i="6"/>
  <c r="H674" i="6"/>
  <c r="H675" i="6"/>
  <c r="H676" i="6"/>
  <c r="H677" i="6"/>
  <c r="H678" i="6"/>
  <c r="H679" i="6"/>
  <c r="H680" i="6"/>
  <c r="H681" i="6"/>
  <c r="H682" i="6"/>
  <c r="H683" i="6"/>
  <c r="H684" i="6"/>
  <c r="H685" i="6"/>
  <c r="H686" i="6"/>
  <c r="H687" i="6"/>
  <c r="H688" i="6"/>
  <c r="H689" i="6"/>
  <c r="H690" i="6"/>
  <c r="H691" i="6"/>
  <c r="H692" i="6"/>
  <c r="H693" i="6"/>
  <c r="H694" i="6"/>
  <c r="H695" i="6"/>
  <c r="H696" i="6"/>
  <c r="H697" i="6"/>
  <c r="H698" i="6"/>
  <c r="H699" i="6"/>
  <c r="H700" i="6"/>
  <c r="H701" i="6"/>
  <c r="H702" i="6"/>
  <c r="H703" i="6"/>
  <c r="H704" i="6"/>
  <c r="H705" i="6"/>
  <c r="H706" i="6"/>
  <c r="H707" i="6"/>
  <c r="H708" i="6"/>
  <c r="H709" i="6"/>
  <c r="H710" i="6"/>
  <c r="H711" i="6"/>
  <c r="H712" i="6"/>
  <c r="H713" i="6"/>
  <c r="H714" i="6"/>
  <c r="H715" i="6"/>
  <c r="H716" i="6"/>
  <c r="H717" i="6"/>
  <c r="H718" i="6"/>
  <c r="H719" i="6"/>
  <c r="H720" i="6"/>
  <c r="H721" i="6"/>
  <c r="H722" i="6"/>
  <c r="H723" i="6"/>
  <c r="H724" i="6"/>
  <c r="H725" i="6"/>
  <c r="H726" i="6"/>
  <c r="H727" i="6"/>
  <c r="H728" i="6"/>
  <c r="H729" i="6"/>
  <c r="H730" i="6"/>
  <c r="H731" i="6"/>
  <c r="H732" i="6"/>
  <c r="H733" i="6"/>
  <c r="H734" i="6"/>
  <c r="H735" i="6"/>
  <c r="H736" i="6"/>
  <c r="H737" i="6"/>
  <c r="H738" i="6"/>
  <c r="H739" i="6"/>
  <c r="H740" i="6"/>
  <c r="H741" i="6"/>
  <c r="H742" i="6"/>
  <c r="H743" i="6"/>
  <c r="H744" i="6"/>
  <c r="H745" i="6"/>
  <c r="H746" i="6"/>
  <c r="H747" i="6"/>
  <c r="H748" i="6"/>
  <c r="H749" i="6"/>
  <c r="H750" i="6"/>
  <c r="H751" i="6"/>
  <c r="H752" i="6"/>
  <c r="H753" i="6"/>
  <c r="H754" i="6"/>
  <c r="H755" i="6"/>
  <c r="H756" i="6"/>
  <c r="H757" i="6"/>
  <c r="H758" i="6"/>
  <c r="H759" i="6"/>
  <c r="H760" i="6"/>
  <c r="H761" i="6"/>
  <c r="H762" i="6"/>
  <c r="H763" i="6"/>
  <c r="H764" i="6"/>
  <c r="H765" i="6"/>
  <c r="H766" i="6"/>
  <c r="H767" i="6"/>
  <c r="H768" i="6"/>
  <c r="H769" i="6"/>
  <c r="H770" i="6"/>
  <c r="H771" i="6"/>
  <c r="H772" i="6"/>
  <c r="H773" i="6"/>
  <c r="H774" i="6"/>
  <c r="H775" i="6"/>
  <c r="H776" i="6"/>
  <c r="H777" i="6"/>
  <c r="H778" i="6"/>
  <c r="H779" i="6"/>
  <c r="H780" i="6"/>
  <c r="H781" i="6"/>
  <c r="H782" i="6"/>
  <c r="H783" i="6"/>
  <c r="H784" i="6"/>
  <c r="H785" i="6"/>
  <c r="H786" i="6"/>
  <c r="H787" i="6"/>
  <c r="H788" i="6"/>
  <c r="H789" i="6"/>
  <c r="H790" i="6"/>
  <c r="H791" i="6"/>
  <c r="H792" i="6"/>
  <c r="H793" i="6"/>
  <c r="H794" i="6"/>
  <c r="H795" i="6"/>
  <c r="H796" i="6"/>
  <c r="H797" i="6"/>
  <c r="H798" i="6"/>
  <c r="H799" i="6"/>
  <c r="H800" i="6"/>
  <c r="H801" i="6"/>
  <c r="H802" i="6"/>
  <c r="H803" i="6"/>
  <c r="H804" i="6"/>
  <c r="H805" i="6"/>
  <c r="H806" i="6"/>
  <c r="H807" i="6"/>
  <c r="H808" i="6"/>
  <c r="H809" i="6"/>
  <c r="H810" i="6"/>
  <c r="H811" i="6"/>
  <c r="H812" i="6"/>
  <c r="H813" i="6"/>
  <c r="H814" i="6"/>
  <c r="H815" i="6"/>
  <c r="H816" i="6"/>
  <c r="H817" i="6"/>
  <c r="H818" i="6"/>
  <c r="H819" i="6"/>
  <c r="H820" i="6"/>
  <c r="H821" i="6"/>
  <c r="H822" i="6"/>
  <c r="H823" i="6"/>
  <c r="H824" i="6"/>
  <c r="H825" i="6"/>
  <c r="H826" i="6"/>
  <c r="H827" i="6"/>
  <c r="H828" i="6"/>
  <c r="H829" i="6"/>
  <c r="H830" i="6"/>
  <c r="H831" i="6"/>
  <c r="H832" i="6"/>
  <c r="H833" i="6"/>
  <c r="H834" i="6"/>
  <c r="H835" i="6"/>
  <c r="H836" i="6"/>
  <c r="H837" i="6"/>
  <c r="H838" i="6"/>
  <c r="H839" i="6"/>
  <c r="H840" i="6"/>
  <c r="H841" i="6"/>
  <c r="H842" i="6"/>
  <c r="H843" i="6"/>
  <c r="H844" i="6"/>
  <c r="H845" i="6"/>
  <c r="H846" i="6"/>
  <c r="H847" i="6"/>
  <c r="H848" i="6"/>
  <c r="H849" i="6"/>
  <c r="H850" i="6"/>
  <c r="H851" i="6"/>
  <c r="H852" i="6"/>
  <c r="H853" i="6"/>
  <c r="H854" i="6"/>
  <c r="H855" i="6"/>
  <c r="H856" i="6"/>
  <c r="H857" i="6"/>
  <c r="H858" i="6"/>
  <c r="H859" i="6"/>
  <c r="H860" i="6"/>
  <c r="H861" i="6"/>
  <c r="H862" i="6"/>
  <c r="H863" i="6"/>
  <c r="H864" i="6"/>
  <c r="H865" i="6"/>
  <c r="H866" i="6"/>
  <c r="H867" i="6"/>
  <c r="H868" i="6"/>
  <c r="H869" i="6"/>
  <c r="H870" i="6"/>
  <c r="H871" i="6"/>
  <c r="H872" i="6"/>
  <c r="H873" i="6"/>
  <c r="H874" i="6"/>
  <c r="H875" i="6"/>
  <c r="H876" i="6"/>
  <c r="H877" i="6"/>
  <c r="H878" i="6"/>
  <c r="H879" i="6"/>
  <c r="H880" i="6"/>
  <c r="H881" i="6"/>
  <c r="H882" i="6"/>
  <c r="H883" i="6"/>
  <c r="H884" i="6"/>
  <c r="H885" i="6"/>
  <c r="H886" i="6"/>
  <c r="H887" i="6"/>
  <c r="H888" i="6"/>
  <c r="H889" i="6"/>
  <c r="H890" i="6"/>
  <c r="H891" i="6"/>
  <c r="H892" i="6"/>
  <c r="H893" i="6"/>
  <c r="H894" i="6"/>
  <c r="H895" i="6"/>
  <c r="H896" i="6"/>
  <c r="H897" i="6"/>
  <c r="H898" i="6"/>
  <c r="H899" i="6"/>
  <c r="H900" i="6"/>
  <c r="H901" i="6"/>
  <c r="H902" i="6"/>
  <c r="H903" i="6"/>
  <c r="H904" i="6"/>
  <c r="H905" i="6"/>
  <c r="H906" i="6"/>
  <c r="H907" i="6"/>
  <c r="H908" i="6"/>
  <c r="H909" i="6"/>
  <c r="H910" i="6"/>
  <c r="H911" i="6"/>
  <c r="H912" i="6"/>
  <c r="H913" i="6"/>
  <c r="H914" i="6"/>
  <c r="H915" i="6"/>
  <c r="H916" i="6"/>
  <c r="H917" i="6"/>
  <c r="H918" i="6"/>
  <c r="H919" i="6"/>
  <c r="H920" i="6"/>
  <c r="H921" i="6"/>
  <c r="H922" i="6"/>
  <c r="H923" i="6"/>
  <c r="H924" i="6"/>
  <c r="H925" i="6"/>
  <c r="H926" i="6"/>
  <c r="H927" i="6"/>
  <c r="H928" i="6"/>
  <c r="H929" i="6"/>
  <c r="H930" i="6"/>
  <c r="H931" i="6"/>
  <c r="H932" i="6"/>
  <c r="H933" i="6"/>
  <c r="H934" i="6"/>
  <c r="H935" i="6"/>
  <c r="H936" i="6"/>
  <c r="H937" i="6"/>
  <c r="H938" i="6"/>
  <c r="H939" i="6"/>
  <c r="H940" i="6"/>
  <c r="H941" i="6"/>
  <c r="H942" i="6"/>
  <c r="H943" i="6"/>
  <c r="H944" i="6"/>
  <c r="H945" i="6"/>
  <c r="H946" i="6"/>
  <c r="H947" i="6"/>
  <c r="H948" i="6"/>
  <c r="H949" i="6"/>
  <c r="H950" i="6"/>
  <c r="H951" i="6"/>
  <c r="H952" i="6"/>
  <c r="H953" i="6"/>
  <c r="H954" i="6"/>
  <c r="H955" i="6"/>
  <c r="H956" i="6"/>
  <c r="H957" i="6"/>
  <c r="H958" i="6"/>
  <c r="H959" i="6"/>
  <c r="H960" i="6"/>
  <c r="H961" i="6"/>
  <c r="H962" i="6"/>
  <c r="H963" i="6"/>
  <c r="H964" i="6"/>
  <c r="H965" i="6"/>
  <c r="H966" i="6"/>
  <c r="H967" i="6"/>
  <c r="H968" i="6"/>
  <c r="H969" i="6"/>
  <c r="H970" i="6"/>
  <c r="H971" i="6"/>
  <c r="H972" i="6"/>
  <c r="H973" i="6"/>
  <c r="H974" i="6"/>
  <c r="H975" i="6"/>
  <c r="H976" i="6"/>
  <c r="H977" i="6"/>
  <c r="H978" i="6"/>
  <c r="H979" i="6"/>
  <c r="H980" i="6"/>
  <c r="H981" i="6"/>
  <c r="H982" i="6"/>
  <c r="H983" i="6"/>
  <c r="H984" i="6"/>
  <c r="H985" i="6"/>
  <c r="H986" i="6"/>
  <c r="H987" i="6"/>
  <c r="H988" i="6"/>
  <c r="H989" i="6"/>
  <c r="H990" i="6"/>
  <c r="H991" i="6"/>
  <c r="H992" i="6"/>
  <c r="H993" i="6"/>
  <c r="H994" i="6"/>
  <c r="H995" i="6"/>
  <c r="H996" i="6"/>
  <c r="H997" i="6"/>
  <c r="H998" i="6"/>
  <c r="H999" i="6"/>
  <c r="H1000" i="6"/>
  <c r="H1001" i="6"/>
  <c r="H1002" i="6"/>
  <c r="H1003" i="6"/>
  <c r="H1004" i="6"/>
  <c r="H1005" i="6"/>
  <c r="H1006" i="6"/>
  <c r="H1007" i="6"/>
  <c r="H1008" i="6"/>
  <c r="H1009" i="6"/>
  <c r="H1010" i="6"/>
  <c r="H1011" i="6"/>
  <c r="H1012" i="6"/>
  <c r="H1013" i="6"/>
  <c r="H1014" i="6"/>
  <c r="H1015" i="6"/>
  <c r="H1016" i="6"/>
  <c r="H1017" i="6"/>
  <c r="H1018" i="6"/>
  <c r="H1019" i="6"/>
  <c r="H1020" i="6"/>
  <c r="H1021" i="6"/>
  <c r="H1022" i="6"/>
  <c r="H1023" i="6"/>
  <c r="H1024" i="6"/>
  <c r="H1025" i="6"/>
  <c r="H1026" i="6"/>
  <c r="H1027" i="6"/>
  <c r="H1028" i="6"/>
  <c r="H1029" i="6"/>
  <c r="H1030" i="6"/>
  <c r="H1031" i="6"/>
  <c r="H1032" i="6"/>
  <c r="H1033" i="6"/>
  <c r="H1034" i="6"/>
  <c r="H1035" i="6"/>
  <c r="H1036" i="6"/>
  <c r="H1037" i="6"/>
  <c r="H1038" i="6"/>
  <c r="H1039" i="6"/>
  <c r="H1040" i="6"/>
  <c r="H1041" i="6"/>
  <c r="H1042" i="6"/>
  <c r="H1043" i="6"/>
  <c r="H1044" i="6"/>
  <c r="H1045" i="6"/>
  <c r="H1046" i="6"/>
  <c r="H1047" i="6"/>
  <c r="H1048" i="6"/>
  <c r="H1049" i="6"/>
  <c r="H1050" i="6"/>
  <c r="H1051" i="6"/>
  <c r="H1052" i="6"/>
  <c r="H1053" i="6"/>
  <c r="H1054" i="6"/>
  <c r="H1055" i="6"/>
  <c r="H1056" i="6"/>
  <c r="H1057" i="6"/>
  <c r="H1058" i="6"/>
  <c r="H1059" i="6"/>
  <c r="H1060" i="6"/>
  <c r="H1061" i="6"/>
  <c r="H1062" i="6"/>
  <c r="H1063" i="6"/>
  <c r="H1064" i="6"/>
  <c r="H1065" i="6"/>
  <c r="H1066" i="6"/>
  <c r="H1067" i="6"/>
  <c r="H1068" i="6"/>
  <c r="H1069" i="6"/>
  <c r="H1070" i="6"/>
  <c r="H1071" i="6"/>
  <c r="H1072" i="6"/>
  <c r="H1073" i="6"/>
  <c r="H1074" i="6"/>
  <c r="H1075" i="6"/>
  <c r="H1076" i="6"/>
  <c r="H1077" i="6"/>
  <c r="H1078" i="6"/>
  <c r="H1079" i="6"/>
  <c r="H1080" i="6"/>
  <c r="H1081" i="6"/>
  <c r="H1082" i="6"/>
  <c r="H1083" i="6"/>
  <c r="H1084" i="6"/>
  <c r="H1085" i="6"/>
  <c r="H1086" i="6"/>
  <c r="H1087" i="6"/>
  <c r="H1088" i="6"/>
  <c r="H1089" i="6"/>
  <c r="H1090" i="6"/>
  <c r="H1091" i="6"/>
  <c r="H1092" i="6"/>
  <c r="H1093" i="6"/>
  <c r="H1094" i="6"/>
  <c r="H1095" i="6"/>
  <c r="H1096" i="6"/>
  <c r="H1097" i="6"/>
  <c r="H1098" i="6"/>
  <c r="H1099" i="6"/>
  <c r="H1100" i="6"/>
  <c r="H1101" i="6"/>
  <c r="H1102" i="6"/>
  <c r="H1103" i="6"/>
  <c r="H1104" i="6"/>
  <c r="H1105" i="6"/>
  <c r="H1106" i="6"/>
  <c r="H1107" i="6"/>
  <c r="H1108" i="6"/>
  <c r="H1109" i="6"/>
  <c r="H1110" i="6"/>
  <c r="H1111" i="6"/>
  <c r="H1112" i="6"/>
  <c r="H1113" i="6"/>
  <c r="H1114" i="6"/>
  <c r="H1115" i="6"/>
  <c r="H1116" i="6"/>
  <c r="H1117" i="6"/>
  <c r="H1118" i="6"/>
  <c r="H1119" i="6"/>
  <c r="H1120" i="6"/>
  <c r="H1121" i="6"/>
  <c r="H1122" i="6"/>
  <c r="H1123" i="6"/>
  <c r="H1124" i="6"/>
  <c r="H1125" i="6"/>
  <c r="H1126" i="6"/>
  <c r="H1127" i="6"/>
  <c r="H1128" i="6"/>
  <c r="H1129" i="6"/>
  <c r="H1130" i="6"/>
  <c r="H1131" i="6"/>
  <c r="H1132" i="6"/>
  <c r="H1133" i="6"/>
  <c r="H1134" i="6"/>
  <c r="H1135" i="6"/>
  <c r="H1136" i="6"/>
  <c r="H1137" i="6"/>
  <c r="H1138" i="6"/>
  <c r="H1139" i="6"/>
  <c r="H1140" i="6"/>
  <c r="H1141" i="6"/>
  <c r="H1142" i="6"/>
  <c r="H1143" i="6"/>
  <c r="H1144" i="6"/>
  <c r="H1145" i="6"/>
  <c r="H1146" i="6"/>
  <c r="H1147" i="6"/>
  <c r="H1148" i="6"/>
  <c r="H1149" i="6"/>
  <c r="H1150" i="6"/>
  <c r="H1151" i="6"/>
  <c r="H1152" i="6"/>
  <c r="H1153" i="6"/>
  <c r="H1154" i="6"/>
  <c r="H1155" i="6"/>
  <c r="H1156" i="6"/>
  <c r="H1157" i="6"/>
  <c r="H1158" i="6"/>
  <c r="H1159" i="6"/>
  <c r="H1160" i="6"/>
  <c r="H1161" i="6"/>
  <c r="H1162" i="6"/>
  <c r="H1163" i="6"/>
  <c r="H1164" i="6"/>
  <c r="H1165" i="6"/>
  <c r="H1166" i="6"/>
  <c r="H1167" i="6"/>
  <c r="H1168" i="6"/>
  <c r="H1169" i="6"/>
  <c r="H1170" i="6"/>
  <c r="H1171" i="6"/>
  <c r="H1172" i="6"/>
  <c r="H1173" i="6"/>
  <c r="H1174" i="6"/>
  <c r="H1175" i="6"/>
  <c r="H1176" i="6"/>
  <c r="H1177" i="6"/>
  <c r="H1178" i="6"/>
  <c r="H1179" i="6"/>
  <c r="BB26" i="1" l="1"/>
  <c r="BB25" i="1"/>
  <c r="BB24" i="1"/>
  <c r="BB23" i="1"/>
  <c r="BB22" i="1"/>
  <c r="BB21" i="1"/>
  <c r="BB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H7" i="1"/>
  <c r="AH6" i="1"/>
  <c r="AH5" i="1"/>
  <c r="AH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4" i="1"/>
  <c r="AE3" i="1"/>
  <c r="AT36" i="1"/>
  <c r="AS36" i="1"/>
  <c r="Y36" i="1"/>
  <c r="X36" i="1"/>
  <c r="R36" i="1"/>
  <c r="AZ36" i="1" s="1"/>
  <c r="BH36" i="1" s="1"/>
  <c r="BJ5" i="1"/>
  <c r="BJ6" i="1"/>
  <c r="BJ7" i="1"/>
  <c r="BJ8" i="1"/>
  <c r="BJ9" i="1"/>
  <c r="BJ10" i="1"/>
  <c r="BJ4" i="1"/>
  <c r="BD36" i="1" l="1"/>
  <c r="AV36" i="1"/>
  <c r="BC36" i="1" s="1"/>
  <c r="D34" i="20" s="1"/>
  <c r="BG36" i="1" l="1"/>
  <c r="AT35" i="1"/>
  <c r="AS35" i="1"/>
  <c r="AT34" i="1"/>
  <c r="AS34" i="1"/>
  <c r="AV34" i="1" s="1"/>
  <c r="AT33" i="1"/>
  <c r="AS33" i="1"/>
  <c r="AV33" i="1" s="1"/>
  <c r="AT32" i="1"/>
  <c r="AS32" i="1"/>
  <c r="AV32" i="1" s="1"/>
  <c r="AT31" i="1"/>
  <c r="AS31" i="1"/>
  <c r="AV31" i="1" s="1"/>
  <c r="AT30" i="1"/>
  <c r="AS30" i="1"/>
  <c r="AV30" i="1" s="1"/>
  <c r="AT29" i="1"/>
  <c r="AS29" i="1"/>
  <c r="AT28" i="1"/>
  <c r="AS28" i="1"/>
  <c r="AT27" i="1"/>
  <c r="AS27" i="1"/>
  <c r="AT26" i="1"/>
  <c r="AS26" i="1"/>
  <c r="AT25" i="1"/>
  <c r="AS25" i="1"/>
  <c r="AV25" i="1" s="1"/>
  <c r="AT24" i="1"/>
  <c r="AS24" i="1"/>
  <c r="AV24" i="1" s="1"/>
  <c r="AT23" i="1"/>
  <c r="AS23" i="1"/>
  <c r="AV23" i="1" s="1"/>
  <c r="AT22" i="1"/>
  <c r="AS22" i="1"/>
  <c r="AV22" i="1" s="1"/>
  <c r="AT21" i="1"/>
  <c r="AS21" i="1"/>
  <c r="AV21" i="1" s="1"/>
  <c r="AT20" i="1"/>
  <c r="AS20" i="1"/>
  <c r="R35" i="1"/>
  <c r="AZ35" i="1" s="1"/>
  <c r="BH35" i="1" s="1"/>
  <c r="R34" i="1"/>
  <c r="AZ34" i="1" s="1"/>
  <c r="BH34" i="1" s="1"/>
  <c r="R33" i="1"/>
  <c r="AZ33" i="1" s="1"/>
  <c r="R32" i="1"/>
  <c r="R31" i="1"/>
  <c r="AZ31" i="1" s="1"/>
  <c r="BH31" i="1" s="1"/>
  <c r="R30" i="1"/>
  <c r="R29" i="1"/>
  <c r="R28" i="1"/>
  <c r="AQ16" i="1"/>
  <c r="AQ15" i="1"/>
  <c r="AQ14" i="1"/>
  <c r="BD33" i="1" l="1"/>
  <c r="AV26" i="1"/>
  <c r="AV35" i="1"/>
  <c r="BC34" i="1"/>
  <c r="D32" i="20" s="1"/>
  <c r="BD34" i="1"/>
  <c r="AV27" i="1"/>
  <c r="BD31" i="1"/>
  <c r="BD35" i="1"/>
  <c r="BG31" i="1"/>
  <c r="BC31" i="1"/>
  <c r="D29" i="20" s="1"/>
  <c r="BG33" i="1"/>
  <c r="BC33" i="1"/>
  <c r="D31" i="20" s="1"/>
  <c r="BG35" i="1"/>
  <c r="BC35" i="1"/>
  <c r="D33" i="20" s="1"/>
  <c r="AV28" i="1"/>
  <c r="U36" i="1"/>
  <c r="BG34" i="1"/>
  <c r="BH33" i="1"/>
  <c r="AV20" i="1"/>
  <c r="AV29" i="1"/>
  <c r="BA3" i="1"/>
  <c r="AZ3" i="1"/>
  <c r="Y3" i="1"/>
  <c r="AF3" i="1" s="1"/>
  <c r="X26" i="1"/>
  <c r="Y26" i="1"/>
  <c r="X27" i="1"/>
  <c r="Y27" i="1"/>
  <c r="X28" i="1"/>
  <c r="Y28" i="1"/>
  <c r="X29" i="1"/>
  <c r="Y29" i="1"/>
  <c r="X30" i="1"/>
  <c r="Y30" i="1"/>
  <c r="X31" i="1"/>
  <c r="Y31" i="1"/>
  <c r="X32" i="1"/>
  <c r="Y32" i="1"/>
  <c r="X33" i="1"/>
  <c r="Y33" i="1"/>
  <c r="X34" i="1"/>
  <c r="Y34" i="1"/>
  <c r="X35" i="1"/>
  <c r="Y35" i="1"/>
  <c r="X5" i="1"/>
  <c r="Y5" i="1"/>
  <c r="AF5" i="1" s="1"/>
  <c r="X6" i="1"/>
  <c r="Y6" i="1"/>
  <c r="AF6" i="1" s="1"/>
  <c r="X7" i="1"/>
  <c r="Y7" i="1"/>
  <c r="AF7" i="1" s="1"/>
  <c r="X8" i="1"/>
  <c r="Y8" i="1"/>
  <c r="AF8" i="1" s="1"/>
  <c r="X9" i="1"/>
  <c r="Y9" i="1"/>
  <c r="X10" i="1"/>
  <c r="Y10" i="1"/>
  <c r="AF10" i="1" s="1"/>
  <c r="X11" i="1"/>
  <c r="Y11" i="1"/>
  <c r="AF11" i="1" s="1"/>
  <c r="X12" i="1"/>
  <c r="Y12" i="1"/>
  <c r="AF12" i="1" s="1"/>
  <c r="X13" i="1"/>
  <c r="Y13" i="1"/>
  <c r="AF13" i="1" s="1"/>
  <c r="L3" i="21" s="1"/>
  <c r="X14" i="1"/>
  <c r="Y14" i="1"/>
  <c r="AF14" i="1" s="1"/>
  <c r="X15" i="1"/>
  <c r="Y15" i="1"/>
  <c r="AF15" i="1" s="1"/>
  <c r="X16" i="1"/>
  <c r="Y16" i="1"/>
  <c r="AF16" i="1" s="1"/>
  <c r="X17" i="1"/>
  <c r="Y17" i="1"/>
  <c r="AF17" i="1" s="1"/>
  <c r="X18" i="1"/>
  <c r="Y18" i="1"/>
  <c r="AF18" i="1" s="1"/>
  <c r="X19" i="1"/>
  <c r="Y19" i="1"/>
  <c r="AF19" i="1" s="1"/>
  <c r="X20" i="1"/>
  <c r="Y20" i="1"/>
  <c r="X21" i="1"/>
  <c r="Y21" i="1"/>
  <c r="X22" i="1"/>
  <c r="Y22" i="1"/>
  <c r="X23" i="1"/>
  <c r="Y23" i="1"/>
  <c r="X24" i="1"/>
  <c r="Y24" i="1"/>
  <c r="X25" i="1"/>
  <c r="Y25" i="1"/>
  <c r="Y4" i="1"/>
  <c r="AF4" i="1" s="1"/>
  <c r="X4" i="1"/>
  <c r="X3" i="1"/>
  <c r="S6" i="1"/>
  <c r="T6" i="1"/>
  <c r="W6" i="1" s="1"/>
  <c r="S7" i="1"/>
  <c r="T7" i="1"/>
  <c r="W7" i="1" s="1"/>
  <c r="S8" i="1"/>
  <c r="T8" i="1"/>
  <c r="W8" i="1" s="1"/>
  <c r="S9" i="1"/>
  <c r="B3" i="21" s="1"/>
  <c r="E3" i="21" s="1"/>
  <c r="T9" i="1"/>
  <c r="W9" i="1" s="1"/>
  <c r="S10" i="1"/>
  <c r="T10" i="1"/>
  <c r="W10" i="1" s="1"/>
  <c r="S11" i="1"/>
  <c r="T11" i="1"/>
  <c r="W11" i="1" s="1"/>
  <c r="S12" i="1"/>
  <c r="T12" i="1"/>
  <c r="W12" i="1" s="1"/>
  <c r="S13" i="1"/>
  <c r="T13" i="1"/>
  <c r="W13" i="1" s="1"/>
  <c r="S14" i="1"/>
  <c r="T14" i="1"/>
  <c r="W14" i="1" s="1"/>
  <c r="S15" i="1"/>
  <c r="T15" i="1"/>
  <c r="W15" i="1" s="1"/>
  <c r="S16" i="1"/>
  <c r="T16" i="1"/>
  <c r="W16" i="1" s="1"/>
  <c r="S17" i="1"/>
  <c r="T17" i="1"/>
  <c r="S18" i="1"/>
  <c r="T18" i="1"/>
  <c r="W18" i="1" s="1"/>
  <c r="S19" i="1"/>
  <c r="T19" i="1"/>
  <c r="W19" i="1" s="1"/>
  <c r="S20" i="1"/>
  <c r="T20" i="1"/>
  <c r="W20" i="1" s="1"/>
  <c r="S21" i="1"/>
  <c r="T21" i="1"/>
  <c r="W21" i="1" s="1"/>
  <c r="S22" i="1"/>
  <c r="T22" i="1"/>
  <c r="W22" i="1" s="1"/>
  <c r="S23" i="1"/>
  <c r="T23" i="1"/>
  <c r="W23" i="1" s="1"/>
  <c r="S24" i="1"/>
  <c r="T24" i="1"/>
  <c r="W24" i="1" s="1"/>
  <c r="S25" i="1"/>
  <c r="T25" i="1"/>
  <c r="W25" i="1" s="1"/>
  <c r="S26" i="1"/>
  <c r="AZ26" i="1" s="1"/>
  <c r="BD26" i="1" s="1"/>
  <c r="T26" i="1"/>
  <c r="W26" i="1" s="1"/>
  <c r="S27" i="1"/>
  <c r="T27" i="1"/>
  <c r="W27" i="1" s="1"/>
  <c r="S28" i="1"/>
  <c r="T28" i="1"/>
  <c r="W28" i="1" s="1"/>
  <c r="S29" i="1"/>
  <c r="T29" i="1"/>
  <c r="W29" i="1" s="1"/>
  <c r="S30" i="1"/>
  <c r="T30" i="1"/>
  <c r="W30" i="1" s="1"/>
  <c r="U31" i="1"/>
  <c r="S32" i="1"/>
  <c r="T32" i="1"/>
  <c r="W32" i="1" s="1"/>
  <c r="S4" i="1"/>
  <c r="T4" i="1"/>
  <c r="W4" i="1" s="1"/>
  <c r="T5" i="1"/>
  <c r="W5" i="1" s="1"/>
  <c r="S5" i="1"/>
  <c r="U6" i="1"/>
  <c r="W7" i="7"/>
  <c r="X7" i="7"/>
  <c r="Y7" i="7"/>
  <c r="W8" i="7"/>
  <c r="X8" i="7"/>
  <c r="Y8" i="7"/>
  <c r="W9" i="7"/>
  <c r="X9" i="7"/>
  <c r="Y9" i="7"/>
  <c r="W10" i="7"/>
  <c r="X10" i="7"/>
  <c r="Y10" i="7"/>
  <c r="W11" i="7"/>
  <c r="X11" i="7"/>
  <c r="Y11" i="7"/>
  <c r="W12" i="7"/>
  <c r="X12" i="7"/>
  <c r="Y12" i="7"/>
  <c r="W13" i="7"/>
  <c r="X13" i="7"/>
  <c r="Y13" i="7"/>
  <c r="W14" i="7"/>
  <c r="X14" i="7"/>
  <c r="Y14" i="7"/>
  <c r="W15" i="7"/>
  <c r="X15" i="7"/>
  <c r="Y15" i="7"/>
  <c r="W16" i="7"/>
  <c r="X16" i="7"/>
  <c r="Y16" i="7"/>
  <c r="W17" i="7"/>
  <c r="X17" i="7"/>
  <c r="Y17" i="7"/>
  <c r="W18" i="7"/>
  <c r="X18" i="7"/>
  <c r="Y18" i="7"/>
  <c r="W19" i="7"/>
  <c r="X19" i="7"/>
  <c r="Y19" i="7"/>
  <c r="W20" i="7"/>
  <c r="X20" i="7"/>
  <c r="Y20" i="7"/>
  <c r="W21" i="7"/>
  <c r="X21" i="7"/>
  <c r="Y21" i="7"/>
  <c r="W22" i="7"/>
  <c r="X22" i="7"/>
  <c r="Y22" i="7"/>
  <c r="W23" i="7"/>
  <c r="X23" i="7"/>
  <c r="Y23" i="7"/>
  <c r="W24" i="7"/>
  <c r="X24" i="7"/>
  <c r="Y24" i="7"/>
  <c r="W25" i="7"/>
  <c r="X25" i="7"/>
  <c r="Y25" i="7"/>
  <c r="W26" i="7"/>
  <c r="X26" i="7"/>
  <c r="Y26" i="7"/>
  <c r="W27" i="7"/>
  <c r="X27" i="7"/>
  <c r="Y27" i="7"/>
  <c r="W28" i="7"/>
  <c r="X28" i="7"/>
  <c r="Y28" i="7"/>
  <c r="W29" i="7"/>
  <c r="X29" i="7"/>
  <c r="Y29" i="7"/>
  <c r="W30" i="7"/>
  <c r="X30" i="7"/>
  <c r="Y30" i="7"/>
  <c r="W31" i="7"/>
  <c r="X31" i="7"/>
  <c r="Y31" i="7"/>
  <c r="W32" i="7"/>
  <c r="X32" i="7"/>
  <c r="Y32" i="7"/>
  <c r="W33" i="7"/>
  <c r="X33" i="7"/>
  <c r="Y33" i="7"/>
  <c r="Y6" i="7"/>
  <c r="X6" i="7"/>
  <c r="W6" i="7"/>
  <c r="V4" i="1" l="1"/>
  <c r="AD4" i="1" s="1"/>
  <c r="AB34" i="1"/>
  <c r="V5" i="1"/>
  <c r="AD5" i="1" s="1"/>
  <c r="V7" i="1"/>
  <c r="AD7" i="1" s="1"/>
  <c r="Z31" i="1"/>
  <c r="AB31" i="1"/>
  <c r="Z36" i="1"/>
  <c r="AB36" i="1"/>
  <c r="AZ23" i="1"/>
  <c r="AZ25" i="1"/>
  <c r="V24" i="1"/>
  <c r="BG24" i="1" s="1"/>
  <c r="AZ24" i="1"/>
  <c r="V23" i="1"/>
  <c r="BG23" i="1" s="1"/>
  <c r="V15" i="1"/>
  <c r="AD15" i="1" s="1"/>
  <c r="AZ15" i="1"/>
  <c r="BH15" i="1" s="1"/>
  <c r="AZ22" i="1"/>
  <c r="V13" i="1"/>
  <c r="AD13" i="1" s="1"/>
  <c r="AZ13" i="1"/>
  <c r="BH13" i="1" s="1"/>
  <c r="V30" i="1"/>
  <c r="BG30" i="1" s="1"/>
  <c r="AZ30" i="1"/>
  <c r="V32" i="1"/>
  <c r="BG32" i="1" s="1"/>
  <c r="AZ32" i="1"/>
  <c r="V12" i="1"/>
  <c r="AZ12" i="1"/>
  <c r="BH12" i="1" s="1"/>
  <c r="V21" i="1"/>
  <c r="BG21" i="1" s="1"/>
  <c r="AZ21" i="1"/>
  <c r="V29" i="1"/>
  <c r="BG29" i="1" s="1"/>
  <c r="AZ29" i="1"/>
  <c r="V20" i="1"/>
  <c r="BG20" i="1" s="1"/>
  <c r="AZ20" i="1"/>
  <c r="V11" i="1"/>
  <c r="AD11" i="1" s="1"/>
  <c r="AZ11" i="1"/>
  <c r="BH11" i="1" s="1"/>
  <c r="V28" i="1"/>
  <c r="BG28" i="1" s="1"/>
  <c r="AZ28" i="1"/>
  <c r="V14" i="1"/>
  <c r="AD14" i="1" s="1"/>
  <c r="AZ14" i="1"/>
  <c r="BH14" i="1" s="1"/>
  <c r="V19" i="1"/>
  <c r="AD19" i="1" s="1"/>
  <c r="AZ19" i="1"/>
  <c r="BH19" i="1" s="1"/>
  <c r="AD10" i="1"/>
  <c r="AZ10" i="1"/>
  <c r="AZ16" i="1"/>
  <c r="BH16" i="1" s="1"/>
  <c r="V27" i="1"/>
  <c r="BG27" i="1" s="1"/>
  <c r="AZ18" i="1"/>
  <c r="BH18" i="1" s="1"/>
  <c r="V9" i="1"/>
  <c r="AZ9" i="1"/>
  <c r="AZ17" i="1"/>
  <c r="BH17" i="1" s="1"/>
  <c r="V16" i="1"/>
  <c r="AD16" i="1" s="1"/>
  <c r="AD17" i="1"/>
  <c r="AB3" i="1"/>
  <c r="BA6" i="1"/>
  <c r="BA10" i="1"/>
  <c r="BA9" i="1"/>
  <c r="U5" i="1"/>
  <c r="Z5" i="1" s="1"/>
  <c r="U25" i="1"/>
  <c r="Z25" i="1" s="1"/>
  <c r="BA8" i="1"/>
  <c r="AZ8" i="1"/>
  <c r="AZ6" i="1"/>
  <c r="U13" i="1"/>
  <c r="Z13" i="1" s="1"/>
  <c r="U12" i="1"/>
  <c r="Z12" i="1" s="1"/>
  <c r="U9" i="1"/>
  <c r="Z9" i="1" s="1"/>
  <c r="BA7" i="1"/>
  <c r="AZ7" i="1"/>
  <c r="BH7" i="1" s="1"/>
  <c r="U8" i="1"/>
  <c r="Z8" i="1" s="1"/>
  <c r="U17" i="1"/>
  <c r="BA5" i="1"/>
  <c r="AZ5" i="1"/>
  <c r="BA4" i="1"/>
  <c r="AZ4" i="1"/>
  <c r="U16" i="1"/>
  <c r="Z16" i="1" s="1"/>
  <c r="U14" i="1"/>
  <c r="Z14" i="1" s="1"/>
  <c r="V26" i="1"/>
  <c r="BG26" i="1" s="1"/>
  <c r="AD6" i="1"/>
  <c r="AD8" i="1"/>
  <c r="U35" i="1"/>
  <c r="AD3" i="1"/>
  <c r="U21" i="1"/>
  <c r="Z21" i="1" s="1"/>
  <c r="AF9" i="1"/>
  <c r="U23" i="1"/>
  <c r="Z23" i="1" s="1"/>
  <c r="U18" i="1"/>
  <c r="Z18" i="1" s="1"/>
  <c r="U27" i="1"/>
  <c r="Z27" i="1" s="1"/>
  <c r="U32" i="1"/>
  <c r="Z32" i="1" s="1"/>
  <c r="U29" i="1"/>
  <c r="Z29" i="1" s="1"/>
  <c r="U11" i="1"/>
  <c r="Z11" i="1" s="1"/>
  <c r="U33" i="1"/>
  <c r="U20" i="1"/>
  <c r="Z20" i="1" s="1"/>
  <c r="U24" i="1"/>
  <c r="Z24" i="1" s="1"/>
  <c r="U22" i="1"/>
  <c r="Z22" i="1" s="1"/>
  <c r="U7" i="1"/>
  <c r="Z7" i="1" s="1"/>
  <c r="U26" i="1"/>
  <c r="Z26" i="1" s="1"/>
  <c r="U30" i="1"/>
  <c r="Z30" i="1" s="1"/>
  <c r="U10" i="1"/>
  <c r="Z10" i="1" s="1"/>
  <c r="U19" i="1"/>
  <c r="Z19" i="1" s="1"/>
  <c r="Z6" i="1"/>
  <c r="AB6" i="1" s="1"/>
  <c r="U28" i="1"/>
  <c r="Z28" i="1" s="1"/>
  <c r="U15" i="1"/>
  <c r="Z15" i="1" s="1"/>
  <c r="U4" i="1"/>
  <c r="V25" i="1"/>
  <c r="BG25" i="1" s="1"/>
  <c r="V22" i="1"/>
  <c r="BG22" i="1" s="1"/>
  <c r="BH5" i="1" l="1"/>
  <c r="G3" i="21"/>
  <c r="AB9" i="1"/>
  <c r="F3" i="21"/>
  <c r="AD12" i="1"/>
  <c r="AK12" i="1"/>
  <c r="BC22" i="1"/>
  <c r="D20" i="20" s="1"/>
  <c r="BD22" i="1"/>
  <c r="BC20" i="1"/>
  <c r="D18" i="20" s="1"/>
  <c r="BD20" i="1"/>
  <c r="BC24" i="1"/>
  <c r="D22" i="20" s="1"/>
  <c r="BD24" i="1"/>
  <c r="BC29" i="1"/>
  <c r="D27" i="20" s="1"/>
  <c r="BD29" i="1"/>
  <c r="BC25" i="1"/>
  <c r="D23" i="20" s="1"/>
  <c r="BD25" i="1"/>
  <c r="BC28" i="1"/>
  <c r="D26" i="20" s="1"/>
  <c r="BD28" i="1"/>
  <c r="BC32" i="1"/>
  <c r="D30" i="20" s="1"/>
  <c r="BD32" i="1"/>
  <c r="BC23" i="1"/>
  <c r="D21" i="20" s="1"/>
  <c r="BD23" i="1"/>
  <c r="BC21" i="1"/>
  <c r="D19" i="20" s="1"/>
  <c r="BD21" i="1"/>
  <c r="BC30" i="1"/>
  <c r="D28" i="20" s="1"/>
  <c r="BD30" i="1"/>
  <c r="BH8" i="1"/>
  <c r="AB11" i="1"/>
  <c r="BH26" i="1"/>
  <c r="BC26" i="1"/>
  <c r="D24" i="20" s="1"/>
  <c r="AB29" i="1"/>
  <c r="BH4" i="1"/>
  <c r="AB23" i="1"/>
  <c r="AB8" i="1"/>
  <c r="AB19" i="1"/>
  <c r="AB28" i="1"/>
  <c r="AB14" i="1"/>
  <c r="AB15" i="1"/>
  <c r="AB7" i="1"/>
  <c r="AB25" i="1"/>
  <c r="AB26" i="1"/>
  <c r="AB16" i="1"/>
  <c r="AB17" i="1"/>
  <c r="Z35" i="1"/>
  <c r="AB35" i="1" s="1"/>
  <c r="AB22" i="1"/>
  <c r="AB32" i="1"/>
  <c r="Z33" i="1"/>
  <c r="AB33" i="1" s="1"/>
  <c r="AJ5" i="1"/>
  <c r="AK5" i="1"/>
  <c r="AB18" i="1"/>
  <c r="AB20" i="1"/>
  <c r="AB13" i="1"/>
  <c r="AD9" i="1"/>
  <c r="AB12" i="1"/>
  <c r="AB21" i="1"/>
  <c r="AB5" i="1"/>
  <c r="AB24" i="1"/>
  <c r="AB27" i="1"/>
  <c r="AB10" i="1"/>
  <c r="AB30" i="1"/>
  <c r="BH9" i="1"/>
  <c r="BH30" i="1"/>
  <c r="BH29" i="1"/>
  <c r="BH10" i="1"/>
  <c r="BH32" i="1"/>
  <c r="BH21" i="1"/>
  <c r="BH25" i="1"/>
  <c r="BH28" i="1"/>
  <c r="BH22" i="1"/>
  <c r="BH6" i="1"/>
  <c r="BH20" i="1"/>
  <c r="BH24" i="1"/>
  <c r="BH23" i="1"/>
  <c r="AD18" i="1"/>
  <c r="Z4" i="1"/>
  <c r="AB4" i="1" s="1"/>
  <c r="I3" i="21" l="1"/>
  <c r="Q27" i="1"/>
  <c r="R27" i="1" s="1"/>
  <c r="AZ27" i="1" s="1"/>
  <c r="AK19" i="1"/>
  <c r="J7" i="7"/>
  <c r="K7" i="7"/>
  <c r="L7" i="7"/>
  <c r="J8" i="7"/>
  <c r="K8" i="7"/>
  <c r="L8" i="7"/>
  <c r="J9" i="7"/>
  <c r="K9" i="7"/>
  <c r="L9" i="7"/>
  <c r="J10" i="7"/>
  <c r="K10" i="7"/>
  <c r="L10" i="7"/>
  <c r="J11" i="7"/>
  <c r="K11" i="7"/>
  <c r="L11" i="7"/>
  <c r="J12" i="7"/>
  <c r="K12" i="7"/>
  <c r="L12" i="7"/>
  <c r="J13" i="7"/>
  <c r="K13" i="7"/>
  <c r="L13" i="7"/>
  <c r="J14" i="7"/>
  <c r="K14" i="7"/>
  <c r="L14" i="7"/>
  <c r="J15" i="7"/>
  <c r="K15" i="7"/>
  <c r="L15" i="7"/>
  <c r="J16" i="7"/>
  <c r="K16" i="7"/>
  <c r="L16" i="7"/>
  <c r="J17" i="7"/>
  <c r="K17" i="7"/>
  <c r="L17" i="7"/>
  <c r="J18" i="7"/>
  <c r="K18" i="7"/>
  <c r="L18" i="7"/>
  <c r="J19" i="7"/>
  <c r="K19" i="7"/>
  <c r="L19" i="7"/>
  <c r="J20" i="7"/>
  <c r="K20" i="7"/>
  <c r="L20" i="7"/>
  <c r="J21" i="7"/>
  <c r="K21" i="7"/>
  <c r="L21" i="7"/>
  <c r="J22" i="7"/>
  <c r="K22" i="7"/>
  <c r="L22" i="7"/>
  <c r="J23" i="7"/>
  <c r="K23" i="7"/>
  <c r="L23" i="7"/>
  <c r="J24" i="7"/>
  <c r="K24" i="7"/>
  <c r="L24" i="7"/>
  <c r="J25" i="7"/>
  <c r="K25" i="7"/>
  <c r="L25" i="7"/>
  <c r="J26" i="7"/>
  <c r="K26" i="7"/>
  <c r="L26" i="7"/>
  <c r="J27" i="7"/>
  <c r="K27" i="7"/>
  <c r="L27" i="7"/>
  <c r="J28" i="7"/>
  <c r="K28" i="7"/>
  <c r="L28" i="7"/>
  <c r="J29" i="7"/>
  <c r="K29" i="7"/>
  <c r="L29" i="7"/>
  <c r="J30" i="7"/>
  <c r="K30" i="7"/>
  <c r="L30" i="7"/>
  <c r="J31" i="7"/>
  <c r="K31" i="7"/>
  <c r="L31" i="7"/>
  <c r="J32" i="7"/>
  <c r="K32" i="7"/>
  <c r="L32" i="7"/>
  <c r="J33" i="7"/>
  <c r="K33" i="7"/>
  <c r="L33" i="7"/>
  <c r="J6" i="7"/>
  <c r="L6" i="7"/>
  <c r="K6" i="7"/>
  <c r="AX19" i="1"/>
  <c r="AY19" i="1" s="1"/>
  <c r="AN19" i="1"/>
  <c r="AE19" i="1"/>
  <c r="AI19" i="1" s="1"/>
  <c r="AX18" i="1"/>
  <c r="AY18" i="1" s="1"/>
  <c r="AN18" i="1"/>
  <c r="AK18" i="1"/>
  <c r="AJ18" i="1"/>
  <c r="AE18" i="1"/>
  <c r="AI18" i="1" s="1"/>
  <c r="AN4" i="1"/>
  <c r="AL5" i="1"/>
  <c r="AM5" i="1"/>
  <c r="AN6" i="1"/>
  <c r="AN7" i="1"/>
  <c r="AN8" i="1"/>
  <c r="AN9" i="1"/>
  <c r="AL10" i="1"/>
  <c r="AM10" i="1"/>
  <c r="AN11" i="1"/>
  <c r="AN12" i="1"/>
  <c r="AN13" i="1"/>
  <c r="AL14" i="1"/>
  <c r="AM14" i="1"/>
  <c r="AN15" i="1"/>
  <c r="AN16" i="1"/>
  <c r="AN17" i="1"/>
  <c r="AE4" i="1"/>
  <c r="AI4" i="1" s="1"/>
  <c r="AE5" i="1"/>
  <c r="AI5" i="1" s="1"/>
  <c r="AE6" i="1"/>
  <c r="AI6" i="1" s="1"/>
  <c r="AE7" i="1"/>
  <c r="AI7" i="1" s="1"/>
  <c r="AE8" i="1"/>
  <c r="AI8" i="1" s="1"/>
  <c r="AE9" i="1"/>
  <c r="AE10" i="1"/>
  <c r="AI10" i="1" s="1"/>
  <c r="AE11" i="1"/>
  <c r="AI11" i="1" s="1"/>
  <c r="AE12" i="1"/>
  <c r="AI12" i="1" s="1"/>
  <c r="AE13" i="1"/>
  <c r="AI13" i="1" s="1"/>
  <c r="AE14" i="1"/>
  <c r="AI14" i="1" s="1"/>
  <c r="AE15" i="1"/>
  <c r="AI15" i="1" s="1"/>
  <c r="AE16" i="1"/>
  <c r="AI16" i="1" s="1"/>
  <c r="AE17" i="1"/>
  <c r="AI17" i="1" s="1"/>
  <c r="AI9" i="1" l="1"/>
  <c r="J3" i="21"/>
  <c r="M3" i="21" s="1"/>
  <c r="BC27" i="1"/>
  <c r="D25" i="20" s="1"/>
  <c r="BD27" i="1"/>
  <c r="BH27" i="1"/>
  <c r="AJ19" i="1"/>
  <c r="AT19" i="1" s="1"/>
  <c r="BD19" i="1" s="1"/>
  <c r="AT18" i="1"/>
  <c r="BD18" i="1" s="1"/>
  <c r="AM18" i="1"/>
  <c r="AL18" i="1"/>
  <c r="AR18" i="1" l="1"/>
  <c r="BI18" i="1"/>
  <c r="BI19" i="1"/>
  <c r="AM19" i="1"/>
  <c r="AL19" i="1"/>
  <c r="AS18" i="1"/>
  <c r="AV18" i="1" s="1"/>
  <c r="AK4" i="1"/>
  <c r="AJ4" i="1"/>
  <c r="AT4" i="1" s="1"/>
  <c r="AK6" i="1"/>
  <c r="AK7" i="1"/>
  <c r="AK8" i="1"/>
  <c r="AK9" i="1"/>
  <c r="AK10" i="1"/>
  <c r="AK11" i="1"/>
  <c r="AK13" i="1"/>
  <c r="AK14" i="1"/>
  <c r="AK15" i="1"/>
  <c r="AK16" i="1"/>
  <c r="AK17" i="1"/>
  <c r="AJ6" i="1"/>
  <c r="AJ7" i="1"/>
  <c r="AJ8" i="1"/>
  <c r="AJ9" i="1"/>
  <c r="Q3" i="21" s="1"/>
  <c r="AJ10" i="1"/>
  <c r="AJ11" i="1"/>
  <c r="AJ12" i="1"/>
  <c r="AJ13" i="1"/>
  <c r="R3" i="21" s="1"/>
  <c r="AJ14" i="1"/>
  <c r="AJ15" i="1"/>
  <c r="AJ16" i="1"/>
  <c r="AJ17" i="1"/>
  <c r="AJ3" i="1"/>
  <c r="AX4" i="1"/>
  <c r="AY4" i="1" s="1"/>
  <c r="AX5" i="1"/>
  <c r="AY5" i="1" s="1"/>
  <c r="AX6" i="1"/>
  <c r="AY6" i="1" s="1"/>
  <c r="AX7" i="1"/>
  <c r="AY7" i="1" s="1"/>
  <c r="AX8" i="1"/>
  <c r="AY8" i="1" s="1"/>
  <c r="AX9" i="1"/>
  <c r="AY9" i="1" s="1"/>
  <c r="AX10" i="1"/>
  <c r="AY10" i="1" s="1"/>
  <c r="AX11" i="1"/>
  <c r="AY11" i="1" s="1"/>
  <c r="AX12" i="1"/>
  <c r="AY12" i="1" s="1"/>
  <c r="AX13" i="1"/>
  <c r="AY13" i="1" s="1"/>
  <c r="AX14" i="1"/>
  <c r="AY14" i="1" s="1"/>
  <c r="AY15" i="1"/>
  <c r="AX16" i="1"/>
  <c r="AY16" i="1" s="1"/>
  <c r="AX17" i="1"/>
  <c r="AY17" i="1" s="1"/>
  <c r="AX3" i="1"/>
  <c r="AR19" i="1" l="1"/>
  <c r="BG18" i="1"/>
  <c r="BC18" i="1"/>
  <c r="AT6" i="1"/>
  <c r="BD6" i="1" s="1"/>
  <c r="AS19" i="1"/>
  <c r="AV19" i="1" s="1"/>
  <c r="AT7" i="1"/>
  <c r="BD7" i="1" s="1"/>
  <c r="BD4" i="1"/>
  <c r="AM9" i="1"/>
  <c r="AL9" i="1"/>
  <c r="AL8" i="1"/>
  <c r="AM8" i="1"/>
  <c r="AL7" i="1"/>
  <c r="AM7" i="1"/>
  <c r="AL17" i="1"/>
  <c r="AM17" i="1"/>
  <c r="AL6" i="1"/>
  <c r="AM6" i="1"/>
  <c r="AN5" i="1"/>
  <c r="AL16" i="1"/>
  <c r="AM16" i="1"/>
  <c r="AN14" i="1"/>
  <c r="AL13" i="1"/>
  <c r="AM13" i="1"/>
  <c r="AM12" i="1"/>
  <c r="AL12" i="1"/>
  <c r="AR12" i="1" s="1"/>
  <c r="AL11" i="1"/>
  <c r="AM11" i="1"/>
  <c r="AN10" i="1"/>
  <c r="AM15" i="1"/>
  <c r="AL15" i="1"/>
  <c r="AT14" i="1"/>
  <c r="BD14" i="1" s="1"/>
  <c r="AT13" i="1"/>
  <c r="BD13" i="1" s="1"/>
  <c r="AT11" i="1"/>
  <c r="BD11" i="1" s="1"/>
  <c r="AT10" i="1"/>
  <c r="BD10" i="1" s="1"/>
  <c r="AT8" i="1"/>
  <c r="BD8" i="1" s="1"/>
  <c r="AT5" i="1"/>
  <c r="BD5" i="1" s="1"/>
  <c r="AT12" i="1"/>
  <c r="BD12" i="1" s="1"/>
  <c r="AT16" i="1"/>
  <c r="BD16" i="1" s="1"/>
  <c r="AT9" i="1"/>
  <c r="BD9" i="1" s="1"/>
  <c r="AT17" i="1"/>
  <c r="BD17" i="1" s="1"/>
  <c r="AT15" i="1"/>
  <c r="BD15" i="1" s="1"/>
  <c r="BE18" i="1" l="1"/>
  <c r="BF18" i="1" s="1"/>
  <c r="D16" i="20"/>
  <c r="BI5" i="1"/>
  <c r="BI8" i="1"/>
  <c r="BI10" i="1"/>
  <c r="BI11" i="1"/>
  <c r="BI13" i="1"/>
  <c r="BI14" i="1"/>
  <c r="BI7" i="1"/>
  <c r="BI17" i="1"/>
  <c r="BI15" i="1"/>
  <c r="BI6" i="1"/>
  <c r="BI9" i="1"/>
  <c r="BI16" i="1"/>
  <c r="BI12" i="1"/>
  <c r="AR7" i="1"/>
  <c r="AR8" i="1"/>
  <c r="AR13" i="1"/>
  <c r="O3" i="21" s="1"/>
  <c r="P3" i="21" s="1"/>
  <c r="S3" i="21" s="1"/>
  <c r="AS15" i="1"/>
  <c r="AV15" i="1" s="1"/>
  <c r="BC15" i="1" s="1"/>
  <c r="D13" i="20" s="1"/>
  <c r="AR15" i="1"/>
  <c r="AR9" i="1"/>
  <c r="AR16" i="1"/>
  <c r="AR6" i="1"/>
  <c r="AR17" i="1"/>
  <c r="AS10" i="1"/>
  <c r="AV10" i="1" s="1"/>
  <c r="AR10" i="1"/>
  <c r="AR11" i="1"/>
  <c r="AS14" i="1"/>
  <c r="AV14" i="1" s="1"/>
  <c r="BC14" i="1" s="1"/>
  <c r="D12" i="20" s="1"/>
  <c r="AR14" i="1"/>
  <c r="AS5" i="1"/>
  <c r="AV5" i="1" s="1"/>
  <c r="BG5" i="1" s="1"/>
  <c r="AR5" i="1"/>
  <c r="BI4" i="1"/>
  <c r="BC19" i="1"/>
  <c r="BG19" i="1"/>
  <c r="AS13" i="1"/>
  <c r="AV13" i="1" s="1"/>
  <c r="BC13" i="1" s="1"/>
  <c r="D11" i="20" s="1"/>
  <c r="AS16" i="1"/>
  <c r="AV16" i="1" s="1"/>
  <c r="BC16" i="1" s="1"/>
  <c r="D14" i="20" s="1"/>
  <c r="AS6" i="1"/>
  <c r="AV6" i="1" s="1"/>
  <c r="BC6" i="1" s="1"/>
  <c r="D4" i="20" s="1"/>
  <c r="AS17" i="1"/>
  <c r="AV17" i="1" s="1"/>
  <c r="AS7" i="1"/>
  <c r="AV7" i="1" s="1"/>
  <c r="AS8" i="1"/>
  <c r="AV8" i="1" s="1"/>
  <c r="BC8" i="1" s="1"/>
  <c r="D6" i="20" s="1"/>
  <c r="AS11" i="1"/>
  <c r="AV11" i="1" s="1"/>
  <c r="BC11" i="1" s="1"/>
  <c r="D9" i="20" s="1"/>
  <c r="AS12" i="1"/>
  <c r="AV12" i="1" s="1"/>
  <c r="BC12" i="1" s="1"/>
  <c r="D10" i="20" s="1"/>
  <c r="AS9" i="1"/>
  <c r="AV9" i="1" s="1"/>
  <c r="BC9" i="1" s="1"/>
  <c r="D7" i="20" s="1"/>
  <c r="AK3" i="1"/>
  <c r="AN3" i="1"/>
  <c r="F2" i="3"/>
  <c r="G2" i="3" s="1"/>
  <c r="H2" i="3" s="1"/>
  <c r="B5" i="4" s="1"/>
  <c r="E2" i="3"/>
  <c r="E2" i="2"/>
  <c r="F2" i="2" s="1"/>
  <c r="BE19" i="1" l="1"/>
  <c r="BF19" i="1" s="1"/>
  <c r="D17" i="20"/>
  <c r="BC7" i="1"/>
  <c r="D5" i="20" s="1"/>
  <c r="BG7" i="1"/>
  <c r="BG17" i="1"/>
  <c r="BC17" i="1"/>
  <c r="BC5" i="1"/>
  <c r="D3" i="20" s="1"/>
  <c r="BG10" i="1"/>
  <c r="BC10" i="1"/>
  <c r="D8" i="20" s="1"/>
  <c r="BE12" i="1"/>
  <c r="BF12" i="1" s="1"/>
  <c r="BG12" i="1"/>
  <c r="BG9" i="1"/>
  <c r="BE11" i="1"/>
  <c r="BF11" i="1" s="1"/>
  <c r="BG11" i="1"/>
  <c r="BE13" i="1"/>
  <c r="BF13" i="1" s="1"/>
  <c r="BG13" i="1"/>
  <c r="BE15" i="1"/>
  <c r="BF15" i="1" s="1"/>
  <c r="BG15" i="1"/>
  <c r="BG6" i="1"/>
  <c r="BE16" i="1"/>
  <c r="BF16" i="1" s="1"/>
  <c r="BG16" i="1"/>
  <c r="BE14" i="1"/>
  <c r="BF14" i="1" s="1"/>
  <c r="BG14" i="1"/>
  <c r="BG8" i="1"/>
  <c r="AL4" i="1"/>
  <c r="AM4" i="1"/>
  <c r="AI3" i="1"/>
  <c r="AT3" i="1"/>
  <c r="G2" i="2"/>
  <c r="H2" i="2" s="1"/>
  <c r="B4" i="4" s="1"/>
  <c r="BE17" i="1" l="1"/>
  <c r="BF17" i="1" s="1"/>
  <c r="D15" i="20"/>
  <c r="AR4" i="1"/>
  <c r="BE6" i="1"/>
  <c r="BF6" i="1" s="1"/>
  <c r="BK6" i="1"/>
  <c r="BE5" i="1"/>
  <c r="BF5" i="1" s="1"/>
  <c r="BK5" i="1"/>
  <c r="BE9" i="1"/>
  <c r="BF9" i="1" s="1"/>
  <c r="BK9" i="1"/>
  <c r="BE10" i="1"/>
  <c r="BF10" i="1" s="1"/>
  <c r="BK10" i="1"/>
  <c r="BE7" i="1"/>
  <c r="BF7" i="1" s="1"/>
  <c r="BK7" i="1"/>
  <c r="BE8" i="1"/>
  <c r="BF8" i="1" s="1"/>
  <c r="BK8" i="1"/>
  <c r="AU3" i="1"/>
  <c r="BD3" i="1" s="1"/>
  <c r="BD37" i="1" s="1"/>
  <c r="AS4" i="1"/>
  <c r="AV4" i="1" s="1"/>
  <c r="AL3" i="1"/>
  <c r="B1" i="4"/>
  <c r="B3" i="4"/>
  <c r="AM3" i="1"/>
  <c r="BC4" i="1" l="1"/>
  <c r="BG4" i="1"/>
  <c r="B2" i="4"/>
  <c r="AS3" i="1"/>
  <c r="AV3" i="1" s="1"/>
  <c r="BC3" i="1" s="1"/>
  <c r="BC37" i="1" l="1"/>
  <c r="D2" i="20"/>
  <c r="BE4" i="1"/>
  <c r="BF4" i="1" s="1"/>
  <c r="BK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DC58C75-0E48-4CAD-B78D-B1A9AB20B2B0}" keepAlive="1" name="Consulta - export?format=csv&amp;gid=612082435" description="Conexión a la consulta 'export?format=csv&amp;gid=612082435' en el libro." type="5" refreshedVersion="8" background="1" saveData="1">
    <dbPr connection="Provider=Microsoft.Mashup.OleDb.1;Data Source=$Workbook$;Location=&quot;export?format=csv&amp;gid=612082435&quot;;Extended Properties=&quot;&quot;" command="SELECT * FROM [export?format=csv&amp;gid=612082435]"/>
  </connection>
</connections>
</file>

<file path=xl/sharedStrings.xml><?xml version="1.0" encoding="utf-8"?>
<sst xmlns="http://schemas.openxmlformats.org/spreadsheetml/2006/main" count="5212" uniqueCount="268">
  <si>
    <t>DNI</t>
  </si>
  <si>
    <t>Nombre</t>
  </si>
  <si>
    <t>Sueldo</t>
  </si>
  <si>
    <t>Asig Familiar (SI/NO)</t>
  </si>
  <si>
    <t>Monto Asig</t>
  </si>
  <si>
    <t>Dias Trab</t>
  </si>
  <si>
    <t>Movilidad</t>
  </si>
  <si>
    <t>Viaticos</t>
  </si>
  <si>
    <t>Rem Bruta</t>
  </si>
  <si>
    <t>Neto</t>
  </si>
  <si>
    <t>EsSalud (9%)</t>
  </si>
  <si>
    <t>Costo Empresa</t>
  </si>
  <si>
    <t>Total No Rem</t>
  </si>
  <si>
    <t>Asig Familiar</t>
  </si>
  <si>
    <t>Meses</t>
  </si>
  <si>
    <t>Base</t>
  </si>
  <si>
    <t>Grati 50%</t>
  </si>
  <si>
    <t>Bonif 9%</t>
  </si>
  <si>
    <t>Total</t>
  </si>
  <si>
    <t>1/6 Grati</t>
  </si>
  <si>
    <t>Rem Computable</t>
  </si>
  <si>
    <t>CTS</t>
  </si>
  <si>
    <t>Total Planilla</t>
  </si>
  <si>
    <t>Total EsSalud</t>
  </si>
  <si>
    <t>Total No Remunerativo</t>
  </si>
  <si>
    <t>Total Gratificaciones</t>
  </si>
  <si>
    <t>Total CTS</t>
  </si>
  <si>
    <t>Periodo</t>
  </si>
  <si>
    <t>AFP/ONP</t>
  </si>
  <si>
    <t>AFP (10%)</t>
  </si>
  <si>
    <t>Seg. AFP (1.37%)</t>
  </si>
  <si>
    <t>ONP</t>
  </si>
  <si>
    <t>Basico</t>
  </si>
  <si>
    <t>Puesto</t>
  </si>
  <si>
    <t>Bono asistencia</t>
  </si>
  <si>
    <t>Renta 5ta</t>
  </si>
  <si>
    <t>Total a Pagar Planilla</t>
  </si>
  <si>
    <t>610561CRBUO0</t>
  </si>
  <si>
    <t>CUSPP</t>
  </si>
  <si>
    <t>F. Ingreso</t>
  </si>
  <si>
    <t>F. Nacimiento</t>
  </si>
  <si>
    <t>SI</t>
  </si>
  <si>
    <t>Días descanso pagado</t>
  </si>
  <si>
    <t>Adelantos viaticos</t>
  </si>
  <si>
    <t>Otros Descuentos</t>
  </si>
  <si>
    <t>No remunerativo</t>
  </si>
  <si>
    <t>Aportes del trabajador</t>
  </si>
  <si>
    <t>Adelantos y descuentos</t>
  </si>
  <si>
    <t>Aporte empleador</t>
  </si>
  <si>
    <t>Extra mes</t>
  </si>
  <si>
    <t>Extra pagar</t>
  </si>
  <si>
    <t>Total Trabajador</t>
  </si>
  <si>
    <t>SPP INTEGRA</t>
  </si>
  <si>
    <t>SPP PRIMA</t>
  </si>
  <si>
    <t>682261FTJRA0</t>
  </si>
  <si>
    <t>673841JMNTO4</t>
  </si>
  <si>
    <t>646071JDDZZ4</t>
  </si>
  <si>
    <t>667161ESPUE1</t>
  </si>
  <si>
    <t>659181LCHLM9</t>
  </si>
  <si>
    <t>671981JMTAT4</t>
  </si>
  <si>
    <t>602771LFYRE8</t>
  </si>
  <si>
    <t>627751SGRCO7</t>
  </si>
  <si>
    <t>342811JCRLU0</t>
  </si>
  <si>
    <t>655861MCVZG3</t>
  </si>
  <si>
    <t>NO</t>
  </si>
  <si>
    <t>Operador de Maquinaria Agricola N3</t>
  </si>
  <si>
    <t>Operador de Maquinaria Agricola N1</t>
  </si>
  <si>
    <t>Operador de Maquinaria Agricola N2</t>
  </si>
  <si>
    <t>Condicion</t>
  </si>
  <si>
    <t>empresa</t>
  </si>
  <si>
    <t>Fecha</t>
  </si>
  <si>
    <t>Valor</t>
  </si>
  <si>
    <t>ACTIVO</t>
  </si>
  <si>
    <t>AGROIMPORTADORA</t>
  </si>
  <si>
    <t>HONORIO CARRANZA SARA GIMENA</t>
  </si>
  <si>
    <t>DNR</t>
  </si>
  <si>
    <t>A</t>
  </si>
  <si>
    <t/>
  </si>
  <si>
    <t>PRADO MENDOZA GONZALO</t>
  </si>
  <si>
    <t>CHIMU NORTE</t>
  </si>
  <si>
    <t>LALUPU ZAPATA CARLOS JAVIER</t>
  </si>
  <si>
    <t>GARCIA RAMOS JOSE ISMAEL</t>
  </si>
  <si>
    <t>LEYVA CARRERA MARIANO YOEL</t>
  </si>
  <si>
    <t>BAJA</t>
  </si>
  <si>
    <t>CHIMU CENTRO</t>
  </si>
  <si>
    <t>B</t>
  </si>
  <si>
    <t>LEZAMA MEDINA MICHAEL ALEXANDER</t>
  </si>
  <si>
    <t>CURO PAZ FELIPE</t>
  </si>
  <si>
    <t>PAMPA BAJA</t>
  </si>
  <si>
    <t>CRUZ VARGAS MARCO ANTONIO</t>
  </si>
  <si>
    <t>BERNA TANTARICO BENJAMIN</t>
  </si>
  <si>
    <t>CALLE HUAMAN LEODAN JOEL</t>
  </si>
  <si>
    <t>N/A</t>
  </si>
  <si>
    <t>CHUICA ADANAQUE ANDERSON XAVIER</t>
  </si>
  <si>
    <t>FARROÑAN YOVERA LUIS ALBERTO</t>
  </si>
  <si>
    <t>F</t>
  </si>
  <si>
    <t>HERNANDEZ GOMEZ LUIS JHONATAN</t>
  </si>
  <si>
    <t>CARLOS ROQUE JUNIOR ABEL</t>
  </si>
  <si>
    <t>AQUANQA</t>
  </si>
  <si>
    <t>CELIS VILLANUEVA VICTOR ORLANDO</t>
  </si>
  <si>
    <t>TERRONES JARA FREDY</t>
  </si>
  <si>
    <t>DIAZ DIAZ JUNNIOR</t>
  </si>
  <si>
    <t>CHARLES</t>
  </si>
  <si>
    <t>SEGUNDO</t>
  </si>
  <si>
    <t>YHON</t>
  </si>
  <si>
    <t>Semana</t>
  </si>
  <si>
    <t>año</t>
  </si>
  <si>
    <t>Etiquetas de fila</t>
  </si>
  <si>
    <t>Total general</t>
  </si>
  <si>
    <t>Etiquetas de columna</t>
  </si>
  <si>
    <t>(Varios elementos)</t>
  </si>
  <si>
    <t>Cuenta de Valor</t>
  </si>
  <si>
    <t>Dias no laborados</t>
  </si>
  <si>
    <t>DR</t>
  </si>
  <si>
    <t>H</t>
  </si>
  <si>
    <t>Banco</t>
  </si>
  <si>
    <t>Cuenta</t>
  </si>
  <si>
    <t>CCI</t>
  </si>
  <si>
    <t>BCP</t>
  </si>
  <si>
    <t>SCOTIABANK</t>
  </si>
  <si>
    <t>INTERBANK</t>
  </si>
  <si>
    <t>57016231766077</t>
  </si>
  <si>
    <t>57071021755000</t>
  </si>
  <si>
    <t>57098711252088</t>
  </si>
  <si>
    <t>57016070300081</t>
  </si>
  <si>
    <t>30071590047060</t>
  </si>
  <si>
    <t>19277856288012</t>
  </si>
  <si>
    <t>45016550233040</t>
  </si>
  <si>
    <t>8330769627</t>
  </si>
  <si>
    <t>30500970418007</t>
  </si>
  <si>
    <t>30513491010070</t>
  </si>
  <si>
    <t>47525665591096</t>
  </si>
  <si>
    <t>47531606418032</t>
  </si>
  <si>
    <t>57073429072032</t>
  </si>
  <si>
    <t>30593206658025</t>
  </si>
  <si>
    <t>47515071114006</t>
  </si>
  <si>
    <t>00972420833076962762</t>
  </si>
  <si>
    <t>663811LHGNE7</t>
  </si>
  <si>
    <t>Apellidos y nombres</t>
  </si>
  <si>
    <t>SPP HABITAT</t>
  </si>
  <si>
    <t>647101BBTNT4</t>
  </si>
  <si>
    <t>REQUELME BACON CESAR DAVID</t>
  </si>
  <si>
    <t>CONCEPCIÓN ZEVALLOS ARMANDO</t>
  </si>
  <si>
    <t>MONTOYA NAMOC JORGE LUIS</t>
  </si>
  <si>
    <t>SIFUENTES PAREDES EDUARDO JAVIER</t>
  </si>
  <si>
    <t>TERRONES JARA LEYDER</t>
  </si>
  <si>
    <t>MANAYAY TANTARICO JHONATAN WILFER</t>
  </si>
  <si>
    <t>RAFAEL MATOS DANNY</t>
  </si>
  <si>
    <t>VELA NEYRA JOSE VICTOR</t>
  </si>
  <si>
    <t>MOYA NAMOC PERCY LUIS</t>
  </si>
  <si>
    <t>MELGAREJO GIL JOEL JHONATAN</t>
  </si>
  <si>
    <t>GOLINDANO MARQUEZ JUAN CARLOS</t>
  </si>
  <si>
    <t>GUAYAN VILLANUEVA PEDRO ALEXANDER</t>
  </si>
  <si>
    <t>CARRASCO CRUZ REDER MILIAN</t>
  </si>
  <si>
    <t>GARCIA RAMOS SEGUNDO MIGUEL</t>
  </si>
  <si>
    <t>CELIS NUREÑA RONNY RICARDO</t>
  </si>
  <si>
    <t>AZAÑERO BASTRA JHON JAIRO ANTONY</t>
  </si>
  <si>
    <t>SALIRROSAS CONTRERAS NILSON LINDER</t>
  </si>
  <si>
    <t>YUNCA ALFARO JOSE LUIS</t>
  </si>
  <si>
    <t>LEON GUANILO DIANA CAROLINA</t>
  </si>
  <si>
    <t>YOVERA CHAVEZ JORGE LUIS</t>
  </si>
  <si>
    <t>YSLA VILLACORTA LILIANA RAQUEL</t>
  </si>
  <si>
    <t>YOVERA CHAVEZ MARYORIE KATIUSKA</t>
  </si>
  <si>
    <t>57098472871099</t>
  </si>
  <si>
    <t>47538222882029</t>
  </si>
  <si>
    <t>57007918639078</t>
  </si>
  <si>
    <t>BBVA</t>
  </si>
  <si>
    <t>1100300200308710</t>
  </si>
  <si>
    <t>47574561946054</t>
  </si>
  <si>
    <t>1105790208095370</t>
  </si>
  <si>
    <t>6003128946327</t>
  </si>
  <si>
    <t>45006443272088</t>
  </si>
  <si>
    <t>57090022817092</t>
  </si>
  <si>
    <t>19104659937005</t>
  </si>
  <si>
    <t>45095677205073</t>
  </si>
  <si>
    <t>57078579082062</t>
  </si>
  <si>
    <t>TIPO</t>
  </si>
  <si>
    <t>PLANILLA</t>
  </si>
  <si>
    <t>HONORARIOS</t>
  </si>
  <si>
    <t>PENDIENTE</t>
  </si>
  <si>
    <t>REFUGIO</t>
  </si>
  <si>
    <t>19497473102077</t>
  </si>
  <si>
    <t>41599043973014</t>
  </si>
  <si>
    <t>Basico sin planilla</t>
  </si>
  <si>
    <t>Asistencia</t>
  </si>
  <si>
    <t>Descanso pagado</t>
  </si>
  <si>
    <t>No remunerado</t>
  </si>
  <si>
    <t>Sin planilla</t>
  </si>
  <si>
    <t>Planilla</t>
  </si>
  <si>
    <t>A/H</t>
  </si>
  <si>
    <t>Feriado</t>
  </si>
  <si>
    <t>D. Remunerado</t>
  </si>
  <si>
    <t>No Remunerado</t>
  </si>
  <si>
    <t>Feriado laborado</t>
  </si>
  <si>
    <t>tipo</t>
  </si>
  <si>
    <t>F. INICIO</t>
  </si>
  <si>
    <t>F.FIN</t>
  </si>
  <si>
    <t>TOTAL</t>
  </si>
  <si>
    <t>Basico Sin planilla</t>
  </si>
  <si>
    <t>Viaticos sin planilla</t>
  </si>
  <si>
    <t>Monto basico</t>
  </si>
  <si>
    <t>OBERLUIS CABRERA ABNER DUWIENSER</t>
  </si>
  <si>
    <t>Falta</t>
  </si>
  <si>
    <t>Falta Descuento bono</t>
  </si>
  <si>
    <t>Hora Extra</t>
  </si>
  <si>
    <t>Horas extras</t>
  </si>
  <si>
    <t>Bono Horas</t>
  </si>
  <si>
    <t>Valor HE</t>
  </si>
  <si>
    <t>NOMBRES Y APELLIDOS</t>
  </si>
  <si>
    <t>INICIO1</t>
  </si>
  <si>
    <t>FIN1</t>
  </si>
  <si>
    <t>TOTAL 1</t>
  </si>
  <si>
    <t>CESAR DAVID REQUELME BACON</t>
  </si>
  <si>
    <t>ARMANDO CONCEPCIÓN ZEVALLOS</t>
  </si>
  <si>
    <t>BENJAMIN BERNA TANTARICO</t>
  </si>
  <si>
    <t>CARLOS LALUPU</t>
  </si>
  <si>
    <t>DANNY RAFAEL MATOS</t>
  </si>
  <si>
    <t>DIANA CAROLINA LEON GUANILO</t>
  </si>
  <si>
    <t>EDUARDO JAVIER SIFUENTES PAREDES</t>
  </si>
  <si>
    <t>FELIPE CURO PAZ</t>
  </si>
  <si>
    <t>FREDY TERRONES JARA</t>
  </si>
  <si>
    <t>GONZALO PRADO MENDOZA</t>
  </si>
  <si>
    <t>JHONATAN WILFER MANAYAY TANTARICO</t>
  </si>
  <si>
    <t>JORGE LUIS MONTOYA NAMOC</t>
  </si>
  <si>
    <t>JORGE LUIS YOVERA CHAVEZ</t>
  </si>
  <si>
    <t>JOSE ISMAEL GARCIA RAMOS</t>
  </si>
  <si>
    <t>JOSE LUIS YUNCA ALFARO</t>
  </si>
  <si>
    <t>JOSE VICTOR VELA NEYRA</t>
  </si>
  <si>
    <t>JUAN CARLOS GOLINDANO MARQUEZ</t>
  </si>
  <si>
    <t>JUNNIOR DIAZ DIAZ</t>
  </si>
  <si>
    <t>LEODAN JOEL CALLE HUAMAN</t>
  </si>
  <si>
    <t>LEYDER TERRONES JARA</t>
  </si>
  <si>
    <t>LUIS ALBERTO FARROÑAN YOVERA</t>
  </si>
  <si>
    <t>MARIANO YOEL LEYVA CARRERA</t>
  </si>
  <si>
    <t>NILSON LINDER SALIRROSAS CONTRERAS</t>
  </si>
  <si>
    <t>PERCY LUIS MOYA NAMOC</t>
  </si>
  <si>
    <t>SARA GIMENA HONORIO CARRANZA</t>
  </si>
  <si>
    <t>MARYORIE KATIUSKA YOVERA CHAVEZ</t>
  </si>
  <si>
    <t>ANDERSON XAVIER CHUICA ADANAQUE</t>
  </si>
  <si>
    <t>SEGUNDO MIGUEL GARCIA RAMOS</t>
  </si>
  <si>
    <t>JUNIOR ABEL CARLOS ROQUE</t>
  </si>
  <si>
    <t>MARCO ANTONIO CRUZ VARGAS</t>
  </si>
  <si>
    <t>LUIS JHONATAN HERNANDEZ GOMEZ</t>
  </si>
  <si>
    <t>LILIANA RAQUEL YSLA VILLACORTA</t>
  </si>
  <si>
    <t>00360001312894632748</t>
  </si>
  <si>
    <t>Asistido sin planilla</t>
  </si>
  <si>
    <t>Asistidos planilla</t>
  </si>
  <si>
    <t>Basico mes</t>
  </si>
  <si>
    <t>Ingreso Quincena</t>
  </si>
  <si>
    <t>Asignacion familiar</t>
  </si>
  <si>
    <t>Total descuentos</t>
  </si>
  <si>
    <t>Días sin planilla</t>
  </si>
  <si>
    <t>Días con planilla</t>
  </si>
  <si>
    <t>Total sin planilla (A)</t>
  </si>
  <si>
    <t>Remuneración Neta (B)</t>
  </si>
  <si>
    <t>Total a pagar (A+B+C+D)</t>
  </si>
  <si>
    <t>Movilidad (C)</t>
  </si>
  <si>
    <t>Viaticos (D)</t>
  </si>
  <si>
    <t>Dominical</t>
  </si>
  <si>
    <t>Horas Extras</t>
  </si>
  <si>
    <t>Sueldo Bruto</t>
  </si>
  <si>
    <t>AFP</t>
  </si>
  <si>
    <t>Alimentación</t>
  </si>
  <si>
    <t>Sueldo Neto</t>
  </si>
  <si>
    <t>Quincena</t>
  </si>
  <si>
    <t>Remuneración Bruta</t>
  </si>
  <si>
    <t>Descuento Comedor</t>
  </si>
  <si>
    <t>Descuento  AFP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</si>
</sst>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center"/>
    </xf>
    <xf numFmtId="4" fontId="0" fillId="0" borderId="0" xfId="0" applyNumberFormat="1" applyAlignment="1">
      <alignment horizontal="center"/>
    </xf>
    <xf numFmtId="4" fontId="0" fillId="0" borderId="0" xfId="0" applyNumberFormat="1"/>
    <xf numFmtId="4" fontId="0" fillId="0" borderId="1" xfId="0" applyNumberFormat="1" applyBorder="1" applyAlignment="1">
      <alignment horizontal="center"/>
    </xf>
    <xf numFmtId="4" fontId="1" fillId="5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vertical="center" wrapText="1"/>
    </xf>
    <xf numFmtId="0" fontId="0" fillId="7" borderId="1" xfId="0" applyFill="1" applyBorder="1" applyAlignment="1">
      <alignment horizontal="center" vertical="center" wrapText="1"/>
    </xf>
    <xf numFmtId="4" fontId="0" fillId="2" borderId="1" xfId="0" applyNumberFormat="1" applyFill="1" applyBorder="1" applyAlignment="1">
      <alignment horizontal="center" vertical="center" wrapText="1"/>
    </xf>
    <xf numFmtId="4" fontId="0" fillId="8" borderId="1" xfId="0" applyNumberFormat="1" applyFill="1" applyBorder="1" applyAlignment="1">
      <alignment horizontal="center" vertical="center" wrapText="1"/>
    </xf>
    <xf numFmtId="4" fontId="0" fillId="3" borderId="1" xfId="0" applyNumberFormat="1" applyFill="1" applyBorder="1" applyAlignment="1">
      <alignment horizontal="center" vertical="center" wrapText="1"/>
    </xf>
    <xf numFmtId="4" fontId="0" fillId="4" borderId="1" xfId="0" applyNumberFormat="1" applyFill="1" applyBorder="1" applyAlignment="1">
      <alignment horizontal="center" vertical="center" wrapText="1"/>
    </xf>
    <xf numFmtId="4" fontId="0" fillId="6" borderId="1" xfId="0" applyNumberFormat="1" applyFill="1" applyBorder="1" applyAlignment="1">
      <alignment horizontal="center" vertical="center" wrapText="1"/>
    </xf>
    <xf numFmtId="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" fontId="0" fillId="6" borderId="2" xfId="0" applyNumberFormat="1" applyFill="1" applyBorder="1" applyAlignment="1">
      <alignment horizontal="center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  <xf numFmtId="49" fontId="0" fillId="0" borderId="1" xfId="0" applyNumberFormat="1" applyBorder="1"/>
    <xf numFmtId="14" fontId="0" fillId="0" borderId="3" xfId="0" applyNumberFormat="1" applyBorder="1"/>
    <xf numFmtId="0" fontId="0" fillId="3" borderId="1" xfId="0" applyFill="1" applyBorder="1"/>
    <xf numFmtId="14" fontId="0" fillId="3" borderId="1" xfId="0" applyNumberFormat="1" applyFill="1" applyBorder="1"/>
    <xf numFmtId="14" fontId="0" fillId="3" borderId="3" xfId="0" applyNumberFormat="1" applyFill="1" applyBorder="1"/>
    <xf numFmtId="0" fontId="0" fillId="9" borderId="1" xfId="0" applyFill="1" applyBorder="1" applyAlignment="1">
      <alignment horizontal="center" vertical="center" wrapText="1"/>
    </xf>
    <xf numFmtId="4" fontId="0" fillId="2" borderId="3" xfId="0" applyNumberFormat="1" applyFill="1" applyBorder="1" applyAlignment="1">
      <alignment horizontal="center" vertical="center" wrapText="1"/>
    </xf>
    <xf numFmtId="1" fontId="0" fillId="0" borderId="0" xfId="0" applyNumberFormat="1"/>
    <xf numFmtId="0" fontId="0" fillId="10" borderId="1" xfId="0" applyFill="1" applyBorder="1" applyAlignment="1">
      <alignment vertical="center"/>
    </xf>
    <xf numFmtId="0" fontId="0" fillId="11" borderId="1" xfId="0" applyFill="1" applyBorder="1" applyAlignment="1">
      <alignment horizontal="center"/>
    </xf>
    <xf numFmtId="0" fontId="0" fillId="10" borderId="3" xfId="0" applyFill="1" applyBorder="1" applyAlignment="1">
      <alignment vertical="center"/>
    </xf>
    <xf numFmtId="4" fontId="0" fillId="11" borderId="1" xfId="0" applyNumberFormat="1" applyFill="1" applyBorder="1" applyAlignment="1">
      <alignment horizontal="center"/>
    </xf>
    <xf numFmtId="4" fontId="1" fillId="12" borderId="1" xfId="0" applyNumberFormat="1" applyFont="1" applyFill="1" applyBorder="1" applyAlignment="1">
      <alignment horizontal="center" vertical="center" wrapText="1"/>
    </xf>
    <xf numFmtId="0" fontId="2" fillId="13" borderId="7" xfId="0" applyFont="1" applyFill="1" applyBorder="1"/>
    <xf numFmtId="14" fontId="2" fillId="13" borderId="7" xfId="0" applyNumberFormat="1" applyFont="1" applyFill="1" applyBorder="1"/>
    <xf numFmtId="2" fontId="0" fillId="0" borderId="0" xfId="0" applyNumberFormat="1"/>
    <xf numFmtId="0" fontId="0" fillId="14" borderId="7" xfId="0" applyFill="1" applyBorder="1"/>
    <xf numFmtId="0" fontId="0" fillId="0" borderId="7" xfId="0" applyBorder="1"/>
    <xf numFmtId="4" fontId="0" fillId="0" borderId="1" xfId="0" applyNumberFormat="1" applyBorder="1" applyAlignment="1">
      <alignment horizontal="center" vertical="center" wrapText="1"/>
    </xf>
    <xf numFmtId="4" fontId="0" fillId="3" borderId="0" xfId="0" applyNumberFormat="1" applyFill="1" applyAlignment="1">
      <alignment horizontal="center"/>
    </xf>
    <xf numFmtId="0" fontId="0" fillId="0" borderId="1" xfId="0" applyBorder="1" applyAlignment="1">
      <alignment vertical="center"/>
    </xf>
    <xf numFmtId="0" fontId="0" fillId="4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/>
    </xf>
    <xf numFmtId="4" fontId="3" fillId="12" borderId="1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9" borderId="5" xfId="0" applyFill="1" applyBorder="1" applyAlignment="1">
      <alignment horizontal="center"/>
    </xf>
    <xf numFmtId="0" fontId="0" fillId="9" borderId="6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4" fontId="0" fillId="8" borderId="2" xfId="0" applyNumberFormat="1" applyFill="1" applyBorder="1" applyAlignment="1">
      <alignment horizontal="center"/>
    </xf>
    <xf numFmtId="4" fontId="0" fillId="3" borderId="2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</cellXfs>
  <cellStyles count="1">
    <cellStyle name="Normal" xfId="0" builtinId="0"/>
  </cellStyles>
  <dxfs count="22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Abner Oberluis" refreshedDate="46157.676489120371" createdVersion="8" refreshedVersion="8" minRefreshableVersion="3" recordCount="1178" xr:uid="{6361F50A-5E40-448C-8D3B-C125D0E0D29C}">
  <cacheSource type="worksheet">
    <worksheetSource name="export?format_csv_gid_612082435"/>
  </cacheSource>
  <cacheFields count="7">
    <cacheField name="Condicion" numFmtId="0">
      <sharedItems count="2">
        <s v="ACTIVO"/>
        <s v="BAJA"/>
      </sharedItems>
    </cacheField>
    <cacheField name="empresa" numFmtId="0">
      <sharedItems/>
    </cacheField>
    <cacheField name="Nombre" numFmtId="0">
      <sharedItems count="57">
        <s v="HONORIO CARRANZA SARA GIMENA"/>
        <s v="RAFAEL MATOS DANNY"/>
        <s v="VELA NEYRA JOSE VICTOR"/>
        <s v="PRADO MENDOZA GONZALO"/>
        <s v="MOYA NAMOC PERCY LUIS"/>
        <s v="LALUPU ZAPATA CARLOS JAVIER"/>
        <s v="GARCIA RAMOS JOSE ISMAEL"/>
        <s v="LEYVA CARRERA MARIANO YOEL"/>
        <s v="MELGAREJO GIL JOEL JHONATAN"/>
        <s v="GOLINDANO MARQUEZ JUAN CARLOS"/>
        <s v="LEZAMA MEDINA MICHAEL ALEXANDER"/>
        <s v="GUAYAN VILLANUEVA PEDRO ALEXANDER"/>
        <s v="CURO PAZ FELIPE"/>
        <s v="REQUELME BACON CESAR DAVID"/>
        <s v="CARRASCO CRUZ REDER MILIAN"/>
        <s v="CRUZ VARGAS MARCO ANTONIO"/>
        <s v="BERNA TANTARICO BENJAMIN"/>
        <s v="CALLE HUAMAN LEODAN JOEL"/>
        <s v="MANAYAY TANTARICO JHONATAN WILFER"/>
        <s v="GARCIA RAMOS SEGUNDO MIGUEL"/>
        <s v="CHUICA ADANAQUE ANDERSON XAVIER"/>
        <s v="FARROÑAN YOVERA LUIS ALBERTO"/>
        <s v="HERNANDEZ GOMEZ LUIS JHONATAN"/>
        <s v="CARLOS ROQUE JUNIOR ABEL"/>
        <s v="CELIS NUREÑA RONNY RICARDO"/>
        <s v="AZAÑERO BASTRA JHON JAIRO ANTONY"/>
        <s v="SALIRROSAS CONTRERAS NILSON LINDER"/>
        <s v="SIFUENTES PAREDES EDUARDO JAVIER"/>
        <s v="TERRONES JARA LEYDER"/>
        <s v="CELIS VILLANUEVA VICTOR ORLANDO"/>
        <s v="TERRONES JARA FREDY"/>
        <s v="MONTOYA NAMOC JORGE LUIS"/>
        <s v="CONCEPCIÓN ZEVALLOS ARMANDO"/>
        <s v="DIAZ DIAZ JUNNIOR"/>
        <s v="YUNCA ALFARO JOSE LUIS"/>
        <s v="CHARLES"/>
        <s v="SEGUNDO"/>
        <s v="YHON"/>
        <s v="REQUELME BACON CÉSAR DAVID" u="1"/>
        <s v="RAFAEL MATOS DANNY " u="1"/>
        <s v="VELA NEYRA JOSE VICTOR " u="1"/>
        <s v="MOYA NAMOC PERCY LUIS " u="1"/>
        <s v="MELGAREJO GIL JOEL JHONATAN " u="1"/>
        <s v="GOLINDANO MARQUEZ JUAN CARLOS " u="1"/>
        <s v="GUAYAN VILLANUEVA PEDRO ALEXANDER " u="1"/>
        <s v="REQUELME BACON CÉSAR DAVID  " u="1"/>
        <s v="CARRASCO CRUZ REDER MILIAN " u="1"/>
        <s v="MANAYAY TANTARICO JHONATAN WILFER " u="1"/>
        <s v="GARCIA RAMOS SEGUNDO MIGUEL " u="1"/>
        <s v="CELIS NUREÑA RONNY RICARDO " u="1"/>
        <s v="AZAÑERO BASTRA JHON JAIRO ANTONY " u="1"/>
        <s v="SALIRROSAS CONTRERAS NILSON LINDER " u="1"/>
        <s v="SIFUENTES PAREDES EDUARDO JAVIER " u="1"/>
        <s v="TERRONES JARA LEYDER " u="1"/>
        <s v="MONTOYA NAMOC JORGE LUIS " u="1"/>
        <s v="CONCEPCIÓN ZEVALLOS ARMANDO " u="1"/>
        <s v="YUNCA ALFARO JOSE LUIS " u="1"/>
      </sharedItems>
    </cacheField>
    <cacheField name="Fecha" numFmtId="14">
      <sharedItems containsSemiMixedTypes="0" containsNonDate="0" containsDate="1" containsString="0" minDate="2026-05-01T00:00:00" maxDate="2026-06-01T00:00:00" count="31"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</sharedItems>
    </cacheField>
    <cacheField name="Valor" numFmtId="0">
      <sharedItems count="9">
        <s v="DNR"/>
        <s v="A"/>
        <s v=""/>
        <s v="DR"/>
        <s v="B"/>
        <s v="H"/>
        <s v="N/A"/>
        <s v="F"/>
        <s v="D" u="1"/>
      </sharedItems>
    </cacheField>
    <cacheField name="Semana" numFmtId="0">
      <sharedItems containsSemiMixedTypes="0" containsString="0" containsNumber="1" containsInteger="1" minValue="18" maxValue="22"/>
    </cacheField>
    <cacheField name="año" numFmtId="0">
      <sharedItems containsSemiMixedTypes="0" containsString="0" containsNumber="1" containsInteger="1" minValue="2026" maxValue="20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5D6B4D-B176-4210-815F-8A0389B1E055}" name="TablaDinámica1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A4:I34" firstHeaderRow="1" firstDataRow="2" firstDataCol="1" rowPageCount="2" colPageCount="1"/>
  <pivotFields count="7">
    <pivotField axis="axisPage" showAll="0">
      <items count="3">
        <item x="0"/>
        <item x="1"/>
        <item t="default"/>
      </items>
    </pivotField>
    <pivotField showAll="0"/>
    <pivotField axis="axisRow" showAll="0" sortType="ascending">
      <items count="58">
        <item x="25"/>
        <item m="1" x="50"/>
        <item x="16"/>
        <item x="17"/>
        <item x="23"/>
        <item x="14"/>
        <item m="1" x="46"/>
        <item x="24"/>
        <item m="1" x="49"/>
        <item x="29"/>
        <item x="35"/>
        <item x="20"/>
        <item x="32"/>
        <item m="1" x="55"/>
        <item x="15"/>
        <item x="12"/>
        <item x="33"/>
        <item x="21"/>
        <item x="6"/>
        <item x="19"/>
        <item m="1" x="48"/>
        <item x="9"/>
        <item m="1" x="43"/>
        <item x="11"/>
        <item m="1" x="44"/>
        <item x="22"/>
        <item x="0"/>
        <item x="5"/>
        <item x="7"/>
        <item x="10"/>
        <item x="18"/>
        <item m="1" x="47"/>
        <item x="8"/>
        <item m="1" x="42"/>
        <item x="31"/>
        <item m="1" x="54"/>
        <item x="4"/>
        <item m="1" x="41"/>
        <item x="3"/>
        <item x="1"/>
        <item m="1" x="39"/>
        <item x="13"/>
        <item m="1" x="38"/>
        <item m="1" x="45"/>
        <item x="26"/>
        <item m="1" x="51"/>
        <item x="36"/>
        <item x="27"/>
        <item m="1" x="52"/>
        <item x="30"/>
        <item x="28"/>
        <item m="1" x="53"/>
        <item x="2"/>
        <item m="1" x="40"/>
        <item x="37"/>
        <item x="34"/>
        <item m="1" x="56"/>
        <item t="default"/>
      </items>
    </pivotField>
    <pivotField axis="axisPage" numFmtId="14" multipleItemSelectionAllowed="1" showAll="0">
      <items count="3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axis="axisCol" dataField="1" showAll="0">
      <items count="10">
        <item x="1"/>
        <item x="5"/>
        <item x="3"/>
        <item m="1" x="8"/>
        <item x="0"/>
        <item x="7"/>
        <item x="6"/>
        <item x="2"/>
        <item x="4"/>
        <item t="default"/>
      </items>
    </pivotField>
    <pivotField showAll="0"/>
    <pivotField showAll="0"/>
  </pivotFields>
  <rowFields count="1">
    <field x="2"/>
  </rowFields>
  <rowItems count="29">
    <i>
      <x v="2"/>
    </i>
    <i>
      <x v="3"/>
    </i>
    <i>
      <x v="4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1"/>
    </i>
    <i>
      <x v="25"/>
    </i>
    <i>
      <x v="26"/>
    </i>
    <i>
      <x v="27"/>
    </i>
    <i>
      <x v="28"/>
    </i>
    <i>
      <x v="30"/>
    </i>
    <i>
      <x v="34"/>
    </i>
    <i>
      <x v="36"/>
    </i>
    <i>
      <x v="38"/>
    </i>
    <i>
      <x v="39"/>
    </i>
    <i>
      <x v="41"/>
    </i>
    <i>
      <x v="44"/>
    </i>
    <i>
      <x v="47"/>
    </i>
    <i>
      <x v="49"/>
    </i>
    <i>
      <x v="50"/>
    </i>
    <i>
      <x v="52"/>
    </i>
    <i>
      <x v="55"/>
    </i>
    <i t="grand">
      <x/>
    </i>
  </rowItems>
  <colFields count="1">
    <field x="4"/>
  </colFields>
  <colItems count="8">
    <i>
      <x/>
    </i>
    <i>
      <x v="1"/>
    </i>
    <i>
      <x v="2"/>
    </i>
    <i>
      <x v="4"/>
    </i>
    <i>
      <x v="5"/>
    </i>
    <i>
      <x v="6"/>
    </i>
    <i>
      <x v="7"/>
    </i>
    <i t="grand">
      <x/>
    </i>
  </colItems>
  <pageFields count="2">
    <pageField fld="0" item="0" hier="-1"/>
    <pageField fld="3" hier="-1"/>
  </pageFields>
  <dataFields count="1">
    <dataField name="Cuenta de Valor" fld="4" subtotal="count" baseField="0" baseItem="0"/>
  </dataFields>
  <formats count="7">
    <format dxfId="6">
      <pivotArea outline="0" collapsedLevelsAreSubtotals="1" fieldPosition="0">
        <references count="1">
          <reference field="4" count="7" selected="0">
            <x v="0"/>
            <x v="2"/>
            <x v="3"/>
            <x v="4"/>
            <x v="5"/>
            <x v="6"/>
            <x v="7"/>
          </reference>
        </references>
      </pivotArea>
    </format>
    <format dxfId="5">
      <pivotArea field="4" type="button" dataOnly="0" labelOnly="1" outline="0" axis="axisCol" fieldPosition="0"/>
    </format>
    <format dxfId="4">
      <pivotArea type="topRight" dataOnly="0" labelOnly="1" outline="0" fieldPosition="0"/>
    </format>
    <format dxfId="3">
      <pivotArea dataOnly="0" labelOnly="1" fieldPosition="0">
        <references count="1">
          <reference field="4" count="7">
            <x v="0"/>
            <x v="2"/>
            <x v="3"/>
            <x v="4"/>
            <x v="5"/>
            <x v="6"/>
            <x v="7"/>
          </reference>
        </references>
      </pivotArea>
    </format>
    <format dxfId="2">
      <pivotArea grandCol="1" outline="0" collapsedLevelsAreSubtotals="1" fieldPosition="0"/>
    </format>
    <format dxfId="1">
      <pivotArea dataOnly="0" labelOnly="1" fieldPosition="0">
        <references count="1">
          <reference field="4" count="1">
            <x v="1"/>
          </reference>
        </references>
      </pivotArea>
    </format>
    <format dxfId="0">
      <pivotArea outline="0" collapsedLevelsAreSubtotals="1" fieldPosition="0">
        <references count="1">
          <reference field="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826462-29A6-45FC-8AD1-10DE9C957A43}" name="TablaDinámica5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>
  <location ref="P4:V34" firstHeaderRow="1" firstDataRow="2" firstDataCol="1" rowPageCount="2" colPageCount="1"/>
  <pivotFields count="7">
    <pivotField axis="axisPage" showAll="0">
      <items count="3">
        <item x="0"/>
        <item x="1"/>
        <item t="default"/>
      </items>
    </pivotField>
    <pivotField showAll="0"/>
    <pivotField axis="axisRow" showAll="0" sortType="ascending">
      <items count="58">
        <item x="25"/>
        <item m="1" x="50"/>
        <item x="16"/>
        <item x="17"/>
        <item x="23"/>
        <item x="14"/>
        <item m="1" x="46"/>
        <item x="24"/>
        <item m="1" x="49"/>
        <item x="29"/>
        <item x="35"/>
        <item x="20"/>
        <item x="32"/>
        <item m="1" x="55"/>
        <item x="15"/>
        <item x="12"/>
        <item x="33"/>
        <item x="21"/>
        <item x="6"/>
        <item x="19"/>
        <item m="1" x="48"/>
        <item x="9"/>
        <item m="1" x="43"/>
        <item x="11"/>
        <item m="1" x="44"/>
        <item x="22"/>
        <item x="0"/>
        <item x="5"/>
        <item x="7"/>
        <item x="10"/>
        <item x="18"/>
        <item m="1" x="47"/>
        <item x="8"/>
        <item m="1" x="42"/>
        <item x="31"/>
        <item m="1" x="54"/>
        <item x="4"/>
        <item m="1" x="41"/>
        <item x="3"/>
        <item x="1"/>
        <item m="1" x="39"/>
        <item x="13"/>
        <item m="1" x="38"/>
        <item m="1" x="45"/>
        <item x="26"/>
        <item m="1" x="51"/>
        <item x="36"/>
        <item x="27"/>
        <item m="1" x="52"/>
        <item x="30"/>
        <item x="28"/>
        <item m="1" x="53"/>
        <item x="2"/>
        <item m="1" x="40"/>
        <item x="37"/>
        <item x="34"/>
        <item m="1" x="56"/>
        <item t="default"/>
      </items>
    </pivotField>
    <pivotField axis="axisPage" numFmtId="14" multipleItemSelectionAllowed="1" showAll="0">
      <items count="32">
        <item x="0"/>
        <item x="1"/>
        <item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t="default"/>
      </items>
    </pivotField>
    <pivotField axis="axisCol" dataField="1" showAll="0">
      <items count="10">
        <item x="1"/>
        <item x="5"/>
        <item x="3"/>
        <item m="1" x="8"/>
        <item x="0"/>
        <item x="7"/>
        <item x="6"/>
        <item x="2"/>
        <item x="4"/>
        <item t="default"/>
      </items>
    </pivotField>
    <pivotField showAll="0"/>
    <pivotField showAll="0"/>
  </pivotFields>
  <rowFields count="1">
    <field x="2"/>
  </rowFields>
  <rowItems count="29">
    <i>
      <x v="2"/>
    </i>
    <i>
      <x v="3"/>
    </i>
    <i>
      <x v="4"/>
    </i>
    <i>
      <x v="11"/>
    </i>
    <i>
      <x v="12"/>
    </i>
    <i>
      <x v="14"/>
    </i>
    <i>
      <x v="15"/>
    </i>
    <i>
      <x v="16"/>
    </i>
    <i>
      <x v="17"/>
    </i>
    <i>
      <x v="18"/>
    </i>
    <i>
      <x v="19"/>
    </i>
    <i>
      <x v="21"/>
    </i>
    <i>
      <x v="25"/>
    </i>
    <i>
      <x v="26"/>
    </i>
    <i>
      <x v="27"/>
    </i>
    <i>
      <x v="28"/>
    </i>
    <i>
      <x v="30"/>
    </i>
    <i>
      <x v="34"/>
    </i>
    <i>
      <x v="36"/>
    </i>
    <i>
      <x v="38"/>
    </i>
    <i>
      <x v="39"/>
    </i>
    <i>
      <x v="41"/>
    </i>
    <i>
      <x v="44"/>
    </i>
    <i>
      <x v="47"/>
    </i>
    <i>
      <x v="49"/>
    </i>
    <i>
      <x v="50"/>
    </i>
    <i>
      <x v="52"/>
    </i>
    <i>
      <x v="55"/>
    </i>
    <i t="grand">
      <x/>
    </i>
  </rowItems>
  <colFields count="1">
    <field x="4"/>
  </colFields>
  <colItems count="6">
    <i>
      <x/>
    </i>
    <i>
      <x v="1"/>
    </i>
    <i>
      <x v="2"/>
    </i>
    <i>
      <x v="4"/>
    </i>
    <i>
      <x v="6"/>
    </i>
    <i t="grand">
      <x/>
    </i>
  </colItems>
  <pageFields count="2">
    <pageField fld="0" item="0" hier="-1"/>
    <pageField fld="3" hier="-1"/>
  </pageFields>
  <dataFields count="1">
    <dataField name="Cuenta de Valor" fld="4" subtotal="count" baseField="0" baseItem="0"/>
  </dataFields>
  <formats count="7">
    <format dxfId="13">
      <pivotArea outline="0" collapsedLevelsAreSubtotals="1" fieldPosition="0">
        <references count="1">
          <reference field="4" count="7" selected="0">
            <x v="0"/>
            <x v="2"/>
            <x v="3"/>
            <x v="4"/>
            <x v="5"/>
            <x v="6"/>
            <x v="7"/>
          </reference>
        </references>
      </pivotArea>
    </format>
    <format dxfId="12">
      <pivotArea field="4" type="button" dataOnly="0" labelOnly="1" outline="0" axis="axisCol" fieldPosition="0"/>
    </format>
    <format dxfId="11">
      <pivotArea type="topRight" dataOnly="0" labelOnly="1" outline="0" fieldPosition="0"/>
    </format>
    <format dxfId="10">
      <pivotArea dataOnly="0" labelOnly="1" fieldPosition="0">
        <references count="1">
          <reference field="4" count="7">
            <x v="0"/>
            <x v="2"/>
            <x v="3"/>
            <x v="4"/>
            <x v="5"/>
            <x v="6"/>
            <x v="7"/>
          </reference>
        </references>
      </pivotArea>
    </format>
    <format dxfId="9">
      <pivotArea grandCol="1" outline="0" collapsedLevelsAreSubtotals="1" fieldPosition="0"/>
    </format>
    <format dxfId="8">
      <pivotArea dataOnly="0" labelOnly="1" fieldPosition="0">
        <references count="1">
          <reference field="4" count="1">
            <x v="1"/>
          </reference>
        </references>
      </pivotArea>
    </format>
    <format dxfId="7">
      <pivotArea outline="0" collapsedLevelsAreSubtotals="1" fieldPosition="0">
        <references count="1">
          <reference field="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782A063E-A3AE-432C-AC49-C13116DF24B3}" autoFormatId="16" applyNumberFormats="0" applyBorderFormats="0" applyFontFormats="0" applyPatternFormats="0" applyAlignmentFormats="0" applyWidthHeightFormats="0">
  <queryTableRefresh nextId="9" unboundColumnsRight="3">
    <queryTableFields count="8">
      <queryTableField id="1" name="Condicion" tableColumnId="1"/>
      <queryTableField id="2" name="empresa" tableColumnId="2"/>
      <queryTableField id="3" name="Nombre" tableColumnId="3"/>
      <queryTableField id="4" name="Fecha" tableColumnId="4"/>
      <queryTableField id="5" name="Valor" tableColumnId="5"/>
      <queryTableField id="6" dataBound="0" tableColumnId="6"/>
      <queryTableField id="7" dataBound="0" tableColumnId="7"/>
      <queryTableField id="8" dataBound="0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394438-E9DF-46AF-85D5-A604709AC4ED}" name="export?format_csv_gid_612082435" displayName="export?format_csv_gid_612082435" ref="A1:H1179" tableType="queryTable" totalsRowShown="0">
  <autoFilter ref="A1:H1179" xr:uid="{F1394438-E9DF-46AF-85D5-A604709AC4ED}">
    <filterColumn colId="2">
      <filters>
        <filter val="TERRONES JARA LEYDER"/>
      </filters>
    </filterColumn>
  </autoFilter>
  <tableColumns count="8">
    <tableColumn id="1" xr3:uid="{21579F21-E2D4-42C5-9AFA-E8098F7AE0D4}" uniqueName="1" name="Condicion" queryTableFieldId="1" dataDxfId="21"/>
    <tableColumn id="2" xr3:uid="{C0AEC4C0-97E6-429B-ABED-6D986472B609}" uniqueName="2" name="empresa" queryTableFieldId="2" dataDxfId="20"/>
    <tableColumn id="3" xr3:uid="{3C1C0202-39D6-4AF5-AE8F-63EE8E532D93}" uniqueName="3" name="Nombre" queryTableFieldId="3" dataDxfId="19"/>
    <tableColumn id="4" xr3:uid="{3C3F97F9-3411-4873-BC82-DFD446DBD00A}" uniqueName="4" name="Fecha" queryTableFieldId="4" dataDxfId="18"/>
    <tableColumn id="5" xr3:uid="{65A0996E-F761-40FD-B576-24DEDB7752E4}" uniqueName="5" name="Valor" queryTableFieldId="5" dataDxfId="17"/>
    <tableColumn id="6" xr3:uid="{CFBCE7A5-5D45-422A-871E-F3323969601F}" uniqueName="6" name="Semana" queryTableFieldId="6" dataDxfId="16">
      <calculatedColumnFormula>+_xlfn.ISOWEEKNUM(export?format_csv_gid_612082435[[#This Row],[Fecha]])</calculatedColumnFormula>
    </tableColumn>
    <tableColumn id="7" xr3:uid="{0D3FEBBC-660D-4891-851C-2106B0E777ED}" uniqueName="7" name="año" queryTableFieldId="7" dataDxfId="15">
      <calculatedColumnFormula>+YEAR(export?format_csv_gid_612082435[[#This Row],[Fecha]])</calculatedColumnFormula>
    </tableColumn>
    <tableColumn id="8" xr3:uid="{8B29A58F-1B33-4168-80D7-D5E16DF16157}" uniqueName="8" name="tipo" queryTableFieldId="8" dataDxfId="14">
      <calculatedColumnFormula>+VLOOKUP(export?format_csv_gid_612082435[[#This Row],[Valor]],Listas!A:B,2,FALSE)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D2D1C-78B1-40A9-8C17-B5AF5159F8DC}">
  <dimension ref="A1:B7"/>
  <sheetViews>
    <sheetView workbookViewId="0">
      <selection activeCell="B6" sqref="B6"/>
    </sheetView>
  </sheetViews>
  <sheetFormatPr defaultColWidth="11.5546875" defaultRowHeight="14.4" x14ac:dyDescent="0.3"/>
  <sheetData>
    <row r="1" spans="1:2" x14ac:dyDescent="0.3">
      <c r="A1" t="s">
        <v>76</v>
      </c>
      <c r="B1" t="s">
        <v>184</v>
      </c>
    </row>
    <row r="2" spans="1:2" x14ac:dyDescent="0.3">
      <c r="A2" t="s">
        <v>114</v>
      </c>
      <c r="B2" t="s">
        <v>190</v>
      </c>
    </row>
    <row r="3" spans="1:2" x14ac:dyDescent="0.3">
      <c r="A3" t="s">
        <v>113</v>
      </c>
      <c r="B3" t="s">
        <v>191</v>
      </c>
    </row>
    <row r="4" spans="1:2" x14ac:dyDescent="0.3">
      <c r="A4" t="s">
        <v>75</v>
      </c>
      <c r="B4" t="s">
        <v>192</v>
      </c>
    </row>
    <row r="5" spans="1:2" x14ac:dyDescent="0.3">
      <c r="A5" t="s">
        <v>95</v>
      </c>
      <c r="B5" t="s">
        <v>202</v>
      </c>
    </row>
    <row r="6" spans="1:2" x14ac:dyDescent="0.3">
      <c r="A6" t="s">
        <v>92</v>
      </c>
      <c r="B6" t="s">
        <v>192</v>
      </c>
    </row>
    <row r="7" spans="1:2" x14ac:dyDescent="0.3">
      <c r="A7" t="s">
        <v>189</v>
      </c>
      <c r="B7" t="s">
        <v>193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26BFD-6CBF-403F-8D98-FD0AEA2384FC}">
  <dimension ref="A1:S16"/>
  <sheetViews>
    <sheetView zoomScale="80" zoomScaleNormal="80" workbookViewId="0">
      <selection activeCell="L3" sqref="I3:L3"/>
    </sheetView>
  </sheetViews>
  <sheetFormatPr defaultColWidth="11.5546875" defaultRowHeight="14.4" x14ac:dyDescent="0.3"/>
  <cols>
    <col min="1" max="1" width="32.88671875" bestFit="1" customWidth="1"/>
    <col min="2" max="3" width="11.77734375" customWidth="1"/>
    <col min="4" max="4" width="9.21875" customWidth="1"/>
    <col min="5" max="7" width="11.77734375" customWidth="1"/>
    <col min="9" max="9" width="13.21875" customWidth="1"/>
    <col min="13" max="13" width="14.5546875" customWidth="1"/>
    <col min="14" max="15" width="12" customWidth="1"/>
    <col min="16" max="16" width="13.6640625" customWidth="1"/>
    <col min="19" max="19" width="12.5546875" customWidth="1"/>
  </cols>
  <sheetData>
    <row r="1" spans="1:19" x14ac:dyDescent="0.3">
      <c r="B1" s="54" t="s">
        <v>251</v>
      </c>
      <c r="C1" s="54"/>
      <c r="D1" s="54"/>
      <c r="E1" s="54"/>
      <c r="F1" s="53" t="s">
        <v>252</v>
      </c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</row>
    <row r="2" spans="1:19" ht="28.8" x14ac:dyDescent="0.3">
      <c r="A2" s="43" t="s">
        <v>1</v>
      </c>
      <c r="B2" s="41" t="s">
        <v>245</v>
      </c>
      <c r="C2" s="41" t="s">
        <v>183</v>
      </c>
      <c r="D2" s="41" t="s">
        <v>7</v>
      </c>
      <c r="E2" s="44" t="s">
        <v>253</v>
      </c>
      <c r="F2" s="41" t="s">
        <v>246</v>
      </c>
      <c r="G2" s="41" t="s">
        <v>258</v>
      </c>
      <c r="H2" s="41" t="s">
        <v>247</v>
      </c>
      <c r="I2" s="41" t="s">
        <v>248</v>
      </c>
      <c r="J2" s="41" t="s">
        <v>249</v>
      </c>
      <c r="K2" s="41" t="s">
        <v>259</v>
      </c>
      <c r="L2" s="41" t="s">
        <v>34</v>
      </c>
      <c r="M2" s="11" t="s">
        <v>265</v>
      </c>
      <c r="N2" s="13" t="s">
        <v>266</v>
      </c>
      <c r="O2" s="13" t="s">
        <v>267</v>
      </c>
      <c r="P2" s="14" t="s">
        <v>254</v>
      </c>
      <c r="Q2" s="14" t="s">
        <v>256</v>
      </c>
      <c r="R2" s="14" t="s">
        <v>257</v>
      </c>
      <c r="S2" s="46" t="s">
        <v>255</v>
      </c>
    </row>
    <row r="3" spans="1:19" x14ac:dyDescent="0.3">
      <c r="A3" s="6" t="s">
        <v>94</v>
      </c>
      <c r="B3" s="8">
        <f>+VLOOKUP($A$3,'Planilla Mensual'!$D:$BC,15,FALSE)</f>
        <v>80</v>
      </c>
      <c r="C3" s="8">
        <f>+VLOOKUP($A$3,'Planilla Mensual'!$D:$BC,14,FALSE)</f>
        <v>1300</v>
      </c>
      <c r="D3" s="8"/>
      <c r="E3" s="8">
        <f>+(C3+D3)*B3</f>
        <v>104000</v>
      </c>
      <c r="F3" s="8">
        <f>+VLOOKUP($A$3,'Planilla Mensual'!$D:$BC,18,FALSE)</f>
        <v>2</v>
      </c>
      <c r="G3" s="8">
        <f>+VLOOKUP($A$3,'Planilla Mensual'!$D:$BC,19,FALSE)</f>
        <v>10</v>
      </c>
      <c r="H3" s="8" t="str">
        <f>+VLOOKUP($A$3,'Planilla Mensual'!$D:$BC,13,FALSE)</f>
        <v>SI</v>
      </c>
      <c r="I3" s="45" t="e">
        <f>+H3/30*(G3+F3)</f>
        <v>#VALUE!</v>
      </c>
      <c r="J3" s="8">
        <f>+VLOOKUP($A$3,'Planilla Mensual'!$D:$BC,27,FALSE)</f>
        <v>476.66666666666669</v>
      </c>
      <c r="K3" s="8">
        <f>+VLOOKUP($A$3,'Planilla Mensual'!$D:$BC,30,FALSE)</f>
        <v>100</v>
      </c>
      <c r="L3" s="8">
        <f>+VLOOKUP($A$3,'Planilla Mensual'!$D:$BC,29,FALSE)</f>
        <v>0</v>
      </c>
      <c r="M3" s="45" t="e">
        <f>+SUM(I3:L3)</f>
        <v>#VALUE!</v>
      </c>
      <c r="N3" s="45">
        <f>+SUMIF('Planilla Mensual'!$D:$D,Presentación!$A$3,'Planilla Mensual'!AQ:AQ)</f>
        <v>280</v>
      </c>
      <c r="O3" s="45">
        <f>+SUMIF('Planilla Mensual'!$D:$D,Presentación!$A$3,'Planilla Mensual'!AR:AR)-N3</f>
        <v>85.635049999999978</v>
      </c>
      <c r="P3" s="45" t="e">
        <f>+M3-O3-N3</f>
        <v>#VALUE!</v>
      </c>
      <c r="Q3" s="8">
        <f>+VLOOKUP($A$3,'Planilla Mensual'!$D:$BC,32,FALSE)</f>
        <v>753.16666666666674</v>
      </c>
      <c r="R3" s="8">
        <f>+VLOOKUP($A$3,'Planilla Mensual'!$D:$BC,33,FALSE)</f>
        <v>80</v>
      </c>
      <c r="S3" s="45" t="e">
        <f>+R3+Q3+P3+E3</f>
        <v>#VALUE!</v>
      </c>
    </row>
    <row r="6" spans="1:19" x14ac:dyDescent="0.3">
      <c r="P6" s="38"/>
    </row>
    <row r="7" spans="1:19" x14ac:dyDescent="0.3">
      <c r="P7" s="38"/>
    </row>
    <row r="9" spans="1:19" x14ac:dyDescent="0.3">
      <c r="M9">
        <f>1300/206</f>
        <v>6.3106796116504853</v>
      </c>
    </row>
    <row r="10" spans="1:19" x14ac:dyDescent="0.3">
      <c r="I10" s="6" t="s">
        <v>260</v>
      </c>
      <c r="J10" s="6">
        <v>2700</v>
      </c>
      <c r="M10">
        <f>+M9*1.25</f>
        <v>7.8883495145631066</v>
      </c>
    </row>
    <row r="11" spans="1:19" x14ac:dyDescent="0.3">
      <c r="I11" s="6" t="s">
        <v>261</v>
      </c>
      <c r="J11" s="6">
        <v>190</v>
      </c>
      <c r="M11">
        <f>+M9*1.35</f>
        <v>8.5194174757281562</v>
      </c>
    </row>
    <row r="12" spans="1:19" x14ac:dyDescent="0.3">
      <c r="I12" s="6" t="s">
        <v>262</v>
      </c>
      <c r="J12" s="6">
        <f>30*26</f>
        <v>780</v>
      </c>
    </row>
    <row r="13" spans="1:19" x14ac:dyDescent="0.3">
      <c r="I13" s="6" t="s">
        <v>263</v>
      </c>
      <c r="J13" s="6">
        <f>+J10-J11-J12</f>
        <v>1730</v>
      </c>
    </row>
    <row r="14" spans="1:19" x14ac:dyDescent="0.3">
      <c r="I14" s="6" t="s">
        <v>264</v>
      </c>
      <c r="J14" s="6">
        <f>+J13/2</f>
        <v>865</v>
      </c>
    </row>
    <row r="15" spans="1:19" x14ac:dyDescent="0.3">
      <c r="G15" s="38"/>
      <c r="M15">
        <f>25*8</f>
        <v>200</v>
      </c>
    </row>
    <row r="16" spans="1:19" x14ac:dyDescent="0.3">
      <c r="M16">
        <f>25*30</f>
        <v>750</v>
      </c>
    </row>
  </sheetData>
  <mergeCells count="2">
    <mergeCell ref="B1:E1"/>
    <mergeCell ref="F1:R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37"/>
  <sheetViews>
    <sheetView tabSelected="1" zoomScale="92" zoomScaleNormal="80" workbookViewId="0">
      <pane xSplit="4" ySplit="2" topLeftCell="AI3" activePane="bottomRight" state="frozen"/>
      <selection pane="topRight" activeCell="D1" sqref="D1"/>
      <selection pane="bottomLeft" activeCell="A3" sqref="A3"/>
      <selection pane="bottomRight" activeCell="AS1" sqref="AS1:AS1048576"/>
    </sheetView>
  </sheetViews>
  <sheetFormatPr defaultColWidth="8.88671875" defaultRowHeight="14.4" outlineLevelCol="1" x14ac:dyDescent="0.3"/>
  <cols>
    <col min="2" max="2" width="12.77734375" bestFit="1" customWidth="1"/>
    <col min="4" max="4" width="37.44140625" bestFit="1" customWidth="1"/>
    <col min="5" max="5" width="12.33203125" customWidth="1" outlineLevel="1"/>
    <col min="6" max="6" width="32.6640625" customWidth="1" outlineLevel="1"/>
    <col min="7" max="7" width="10.44140625" customWidth="1" outlineLevel="1"/>
    <col min="8" max="9" width="14" customWidth="1" outlineLevel="1"/>
    <col min="10" max="10" width="17.109375" customWidth="1" outlineLevel="1"/>
    <col min="11" max="11" width="21.21875" customWidth="1" outlineLevel="1"/>
    <col min="12" max="12" width="11.5546875" customWidth="1" outlineLevel="1"/>
    <col min="13" max="13" width="12.44140625" customWidth="1"/>
    <col min="14" max="14" width="12.109375" style="1" customWidth="1" outlineLevel="1"/>
    <col min="15" max="15" width="13.33203125" style="1" bestFit="1" customWidth="1" outlineLevel="1"/>
    <col min="16" max="16" width="10.88671875" style="1" customWidth="1" outlineLevel="1"/>
    <col min="17" max="17" width="10.109375" style="2" customWidth="1" outlineLevel="1"/>
    <col min="18" max="18" width="9.33203125" style="2" customWidth="1" outlineLevel="1"/>
    <col min="19" max="21" width="9.6640625" style="1" customWidth="1" outlineLevel="1"/>
    <col min="22" max="22" width="8.88671875" style="1" customWidth="1" outlineLevel="1"/>
    <col min="23" max="23" width="12.5546875" style="1" customWidth="1" outlineLevel="1"/>
    <col min="24" max="24" width="9.109375" style="1" customWidth="1" outlineLevel="1"/>
    <col min="25" max="25" width="9.44140625" style="1" customWidth="1" outlineLevel="1"/>
    <col min="26" max="28" width="12.5546875" style="1" customWidth="1" outlineLevel="1"/>
    <col min="29" max="29" width="12.5546875" style="1" customWidth="1"/>
    <col min="30" max="32" width="10.21875" style="2" customWidth="1" outlineLevel="1"/>
    <col min="33" max="34" width="13.77734375" style="2" customWidth="1" outlineLevel="1"/>
    <col min="35" max="36" width="9.5546875" style="2" customWidth="1" outlineLevel="1"/>
    <col min="37" max="37" width="8.88671875" style="2" customWidth="1" outlineLevel="1"/>
    <col min="38" max="38" width="9" style="2" customWidth="1" outlineLevel="1"/>
    <col min="39" max="39" width="14.33203125" style="2" customWidth="1" outlineLevel="1"/>
    <col min="40" max="40" width="8" style="2" customWidth="1" outlineLevel="1"/>
    <col min="41" max="41" width="11" style="2" customWidth="1" outlineLevel="1"/>
    <col min="42" max="42" width="12.44140625" style="2" customWidth="1" outlineLevel="1"/>
    <col min="43" max="44" width="9.109375" style="2" customWidth="1" outlineLevel="1"/>
    <col min="45" max="45" width="8.88671875" style="2" customWidth="1"/>
    <col min="46" max="46" width="12.21875" style="2" customWidth="1"/>
    <col min="47" max="47" width="15.77734375" style="2" customWidth="1" outlineLevel="1"/>
    <col min="48" max="48" width="11.6640625" style="2" customWidth="1" outlineLevel="1"/>
    <col min="49" max="49" width="3.44140625" style="2" customWidth="1" outlineLevel="1"/>
    <col min="50" max="50" width="8.109375" style="2" customWidth="1" outlineLevel="1"/>
    <col min="51" max="55" width="11.6640625" style="2" customWidth="1"/>
    <col min="56" max="56" width="13.21875" style="2" customWidth="1"/>
    <col min="57" max="57" width="8.88671875" style="3"/>
  </cols>
  <sheetData>
    <row r="1" spans="1:63" x14ac:dyDescent="0.3">
      <c r="M1" s="47" t="s">
        <v>27</v>
      </c>
      <c r="N1" s="47"/>
      <c r="S1" s="53" t="s">
        <v>187</v>
      </c>
      <c r="T1" s="53"/>
      <c r="U1" s="53"/>
      <c r="V1" s="48" t="s">
        <v>188</v>
      </c>
      <c r="W1" s="49"/>
      <c r="X1" s="49"/>
      <c r="Y1" s="49"/>
      <c r="Z1" s="49"/>
      <c r="AA1" s="50"/>
      <c r="AB1" s="2"/>
      <c r="AC1" s="2"/>
      <c r="AJ1" s="51" t="s">
        <v>45</v>
      </c>
      <c r="AK1" s="51"/>
      <c r="AL1" s="52" t="s">
        <v>46</v>
      </c>
      <c r="AM1" s="52"/>
      <c r="AN1" s="52"/>
      <c r="AO1" s="52"/>
      <c r="AP1" s="52" t="s">
        <v>47</v>
      </c>
      <c r="AQ1" s="52"/>
      <c r="AR1" s="42"/>
      <c r="AU1" s="18" t="s">
        <v>48</v>
      </c>
    </row>
    <row r="2" spans="1:63" s="17" customFormat="1" ht="27.6" customHeight="1" x14ac:dyDescent="0.3">
      <c r="A2" s="17" t="s">
        <v>207</v>
      </c>
      <c r="B2" s="9" t="s">
        <v>176</v>
      </c>
      <c r="C2" s="9" t="s">
        <v>0</v>
      </c>
      <c r="D2" s="9" t="s">
        <v>138</v>
      </c>
      <c r="E2" s="9" t="s">
        <v>40</v>
      </c>
      <c r="F2" s="9" t="s">
        <v>33</v>
      </c>
      <c r="G2" s="9" t="s">
        <v>28</v>
      </c>
      <c r="H2" s="9" t="s">
        <v>38</v>
      </c>
      <c r="I2" s="9" t="s">
        <v>115</v>
      </c>
      <c r="J2" s="9" t="s">
        <v>116</v>
      </c>
      <c r="K2" s="9" t="s">
        <v>117</v>
      </c>
      <c r="L2" s="9" t="s">
        <v>39</v>
      </c>
      <c r="M2" s="9" t="s">
        <v>195</v>
      </c>
      <c r="N2" s="10" t="s">
        <v>196</v>
      </c>
      <c r="O2" s="10" t="s">
        <v>27</v>
      </c>
      <c r="P2" s="10" t="s">
        <v>3</v>
      </c>
      <c r="Q2" s="10" t="s">
        <v>32</v>
      </c>
      <c r="R2" s="10" t="s">
        <v>183</v>
      </c>
      <c r="S2" s="10" t="s">
        <v>184</v>
      </c>
      <c r="T2" s="10" t="s">
        <v>185</v>
      </c>
      <c r="U2" s="10" t="s">
        <v>186</v>
      </c>
      <c r="V2" s="28" t="s">
        <v>5</v>
      </c>
      <c r="W2" s="28" t="s">
        <v>42</v>
      </c>
      <c r="X2" s="28" t="s">
        <v>190</v>
      </c>
      <c r="Y2" s="28" t="s">
        <v>193</v>
      </c>
      <c r="Z2" s="28" t="s">
        <v>112</v>
      </c>
      <c r="AA2" s="28" t="s">
        <v>203</v>
      </c>
      <c r="AB2" s="31" t="s">
        <v>197</v>
      </c>
      <c r="AC2" s="33" t="s">
        <v>205</v>
      </c>
      <c r="AD2" s="29" t="s">
        <v>200</v>
      </c>
      <c r="AE2" s="11" t="s">
        <v>4</v>
      </c>
      <c r="AF2" s="11" t="s">
        <v>193</v>
      </c>
      <c r="AG2" s="11" t="s">
        <v>34</v>
      </c>
      <c r="AH2" s="11" t="s">
        <v>206</v>
      </c>
      <c r="AI2" s="11" t="s">
        <v>8</v>
      </c>
      <c r="AJ2" s="12" t="s">
        <v>6</v>
      </c>
      <c r="AK2" s="12" t="s">
        <v>7</v>
      </c>
      <c r="AL2" s="13" t="s">
        <v>29</v>
      </c>
      <c r="AM2" s="13" t="s">
        <v>30</v>
      </c>
      <c r="AN2" s="13" t="s">
        <v>31</v>
      </c>
      <c r="AO2" s="13" t="s">
        <v>35</v>
      </c>
      <c r="AP2" s="13" t="s">
        <v>44</v>
      </c>
      <c r="AQ2" s="13" t="s">
        <v>43</v>
      </c>
      <c r="AR2" s="13" t="s">
        <v>250</v>
      </c>
      <c r="AS2" s="14" t="s">
        <v>9</v>
      </c>
      <c r="AT2" s="14" t="s">
        <v>12</v>
      </c>
      <c r="AU2" s="15" t="s">
        <v>10</v>
      </c>
      <c r="AV2" s="5" t="s">
        <v>36</v>
      </c>
      <c r="AW2" s="2"/>
      <c r="AX2" s="10" t="s">
        <v>49</v>
      </c>
      <c r="AY2" s="5" t="s">
        <v>50</v>
      </c>
      <c r="AZ2" s="5" t="s">
        <v>198</v>
      </c>
      <c r="BA2" s="5" t="s">
        <v>199</v>
      </c>
      <c r="BB2" s="5" t="s">
        <v>204</v>
      </c>
      <c r="BC2" s="35" t="s">
        <v>51</v>
      </c>
      <c r="BD2" s="5" t="s">
        <v>11</v>
      </c>
      <c r="BE2" s="16"/>
    </row>
    <row r="3" spans="1:63" x14ac:dyDescent="0.3">
      <c r="B3" s="6" t="s">
        <v>177</v>
      </c>
      <c r="C3" s="6">
        <v>42878934</v>
      </c>
      <c r="D3" s="6" t="s">
        <v>141</v>
      </c>
      <c r="E3" s="7">
        <v>31058</v>
      </c>
      <c r="F3" s="6" t="s">
        <v>65</v>
      </c>
      <c r="G3" s="6" t="s">
        <v>52</v>
      </c>
      <c r="H3" s="6" t="s">
        <v>37</v>
      </c>
      <c r="I3" s="6" t="s">
        <v>118</v>
      </c>
      <c r="J3" s="6" t="s">
        <v>121</v>
      </c>
      <c r="K3" s="6"/>
      <c r="L3" s="7">
        <v>46128</v>
      </c>
      <c r="M3" s="7">
        <v>46128</v>
      </c>
      <c r="N3" s="7">
        <v>46142</v>
      </c>
      <c r="O3" s="7" t="str">
        <f>+TEXT(M3,"mmmm")&amp;" - "&amp;YEAR(M3)&amp;MONTH(M3)</f>
        <v>Abril - 20264</v>
      </c>
      <c r="P3" s="8" t="s">
        <v>41</v>
      </c>
      <c r="Q3" s="4">
        <v>1300</v>
      </c>
      <c r="R3" s="4"/>
      <c r="S3" s="8">
        <v>0</v>
      </c>
      <c r="T3" s="8">
        <v>0</v>
      </c>
      <c r="U3" s="8">
        <v>0</v>
      </c>
      <c r="V3" s="8">
        <v>9</v>
      </c>
      <c r="W3" s="8">
        <v>5</v>
      </c>
      <c r="X3" s="8">
        <f>+COUNTIFS('BD Asistencia'!$E:$E,"F",'BD Asistencia'!$C:$C,'Planilla Mensual'!$D3,'BD Asistencia'!$D:$D,"&gt;="&amp;'Planilla Mensual'!M3,'BD Asistencia'!$D:$D,"&lt;="&amp;'Planilla Mensual'!N3)</f>
        <v>0</v>
      </c>
      <c r="Y3" s="8">
        <f>+COUNTIFS('BD Asistencia'!$E:$E,"F/A",'BD Asistencia'!$C:$C,'Planilla Mensual'!$D3,'BD Asistencia'!$D:$D,"&gt;="&amp;'Planilla Mensual'!M3,'BD Asistencia'!$D:$D,"&lt;="&amp;'Planilla Mensual'!N3)</f>
        <v>0</v>
      </c>
      <c r="Z3" s="8">
        <v>1</v>
      </c>
      <c r="AA3" s="8"/>
      <c r="AB3" s="8">
        <f>+SUM(S3:Z3)</f>
        <v>15</v>
      </c>
      <c r="AC3" s="8"/>
      <c r="AD3" s="4">
        <f>+Q3/30*SUM(V3:Y3)</f>
        <v>606.66666666666674</v>
      </c>
      <c r="AE3" s="4">
        <f>IF(P3="SI",113,0)</f>
        <v>113</v>
      </c>
      <c r="AF3" s="4">
        <f>+(Q3/30*Y3)*2</f>
        <v>0</v>
      </c>
      <c r="AG3" s="4">
        <v>200</v>
      </c>
      <c r="AH3" s="4"/>
      <c r="AI3" s="4">
        <f>+SUM(AD3:AG3)</f>
        <v>919.66666666666674</v>
      </c>
      <c r="AJ3" s="4">
        <f>+V3*IF(RIGHT(F3,2)="N3",16,IF(RIGHT(F3,2)="N2",8,4))</f>
        <v>144</v>
      </c>
      <c r="AK3" s="4">
        <f>V3*30</f>
        <v>270</v>
      </c>
      <c r="AL3" s="4">
        <f>IF(G3="ONP",0,AI3*0.1)</f>
        <v>91.966666666666683</v>
      </c>
      <c r="AM3" s="4">
        <f>IF(G3="ONP",0,AI3*1.37%)</f>
        <v>12.599433333333335</v>
      </c>
      <c r="AN3" s="4">
        <f>+IF(G3="ONP",AI3*0.13,0)</f>
        <v>0</v>
      </c>
      <c r="AO3" s="4">
        <v>0</v>
      </c>
      <c r="AP3" s="4">
        <v>250</v>
      </c>
      <c r="AQ3" s="4">
        <v>140</v>
      </c>
      <c r="AR3" s="4"/>
      <c r="AS3" s="4">
        <f>AI3-SUM(AL3:AQ3)</f>
        <v>425.10056666666674</v>
      </c>
      <c r="AT3" s="4">
        <f>AJ3+AK3</f>
        <v>414</v>
      </c>
      <c r="AU3" s="4">
        <f>IF(AI3*0.09&lt;1130*0.09,1130*0.09,AI3*0.09)</f>
        <v>101.7</v>
      </c>
      <c r="AV3" s="4">
        <f>AS3+AT3</f>
        <v>839.10056666666674</v>
      </c>
      <c r="AX3" s="4">
        <f>+IF(RIGHT(F3,2)="N3",300,0)</f>
        <v>300</v>
      </c>
      <c r="AY3" s="4">
        <v>150</v>
      </c>
      <c r="AZ3" s="4">
        <f>+R3*S3</f>
        <v>0</v>
      </c>
      <c r="BA3" s="4">
        <f>+S3*30</f>
        <v>0</v>
      </c>
      <c r="BB3" s="4"/>
      <c r="BC3" s="4">
        <f>+AY3+AV3+AZ3+BA3</f>
        <v>989.10056666666674</v>
      </c>
      <c r="BD3" s="4">
        <f>AI3+AU3+AT3+AY3+AZ3+BA3</f>
        <v>1585.3666666666668</v>
      </c>
    </row>
    <row r="4" spans="1:63" x14ac:dyDescent="0.3">
      <c r="A4">
        <v>15</v>
      </c>
      <c r="B4" s="6" t="s">
        <v>177</v>
      </c>
      <c r="C4" s="6">
        <v>42878934</v>
      </c>
      <c r="D4" s="6" t="s">
        <v>141</v>
      </c>
      <c r="E4" s="7">
        <v>31058</v>
      </c>
      <c r="F4" s="6" t="s">
        <v>65</v>
      </c>
      <c r="G4" s="6" t="s">
        <v>52</v>
      </c>
      <c r="H4" s="6" t="s">
        <v>37</v>
      </c>
      <c r="I4" s="6" t="s">
        <v>118</v>
      </c>
      <c r="J4" s="6" t="s">
        <v>121</v>
      </c>
      <c r="K4" s="6"/>
      <c r="L4" s="7">
        <v>46128</v>
      </c>
      <c r="M4" s="7">
        <v>46143</v>
      </c>
      <c r="N4" s="7">
        <v>46157</v>
      </c>
      <c r="O4" s="7" t="str">
        <f>+TEXT(M4,"mmmm")&amp;" - "&amp;YEAR(M4)&amp;MONTH(M4)</f>
        <v>Mayo - 20265</v>
      </c>
      <c r="P4" s="8" t="s">
        <v>41</v>
      </c>
      <c r="Q4" s="4">
        <v>1300</v>
      </c>
      <c r="R4" s="4"/>
      <c r="S4" s="8">
        <f>+COUNTIFS('BD Asistencia'!$E:$E,"A",'BD Asistencia'!$C:$C,'Planilla Mensual'!$D4,'BD Asistencia'!$D:$D,"&lt;"&amp;'Planilla Mensual'!L4)</f>
        <v>0</v>
      </c>
      <c r="T4" s="8">
        <f>+COUNTIFS('BD Asistencia'!$E:$E,"DR",'BD Asistencia'!$C:$C,'Planilla Mensual'!$D4,'BD Asistencia'!$D:$D,"&lt;"&amp;L4)</f>
        <v>0</v>
      </c>
      <c r="U4" s="8">
        <f>+COUNTIFS('BD Asistencia'!$H:$H,"NO REMUNERADO",'BD Asistencia'!$C:$C,'Planilla Mensual'!$D4,'BD Asistencia'!$D:$D,"&lt;"&amp;L4)</f>
        <v>0</v>
      </c>
      <c r="V4" s="8">
        <f>+COUNTIFS('BD Asistencia'!$E:$E,"A",'BD Asistencia'!$C:$C,'Planilla Mensual'!$D4,'BD Asistencia'!$D:$D,"&gt;="&amp;'Planilla Mensual'!M4,'BD Asistencia'!$D:$D,"&lt;="&amp;'Planilla Mensual'!N4)-S4</f>
        <v>13</v>
      </c>
      <c r="W4" s="8">
        <f>+COUNTIFS('BD Asistencia'!$E:$E,"DR",'BD Asistencia'!$C:$C,'Planilla Mensual'!$D4,'BD Asistencia'!$D:$D,"&gt;="&amp;'Planilla Mensual'!M4,'BD Asistencia'!$D:$D,"&lt;="&amp;'Planilla Mensual'!N4)-T4</f>
        <v>1</v>
      </c>
      <c r="X4" s="8">
        <f>+COUNTIFS('BD Asistencia'!$E:$E,"h",'BD Asistencia'!$C:$C,'Planilla Mensual'!$D4,'BD Asistencia'!$D:$D,"&gt;="&amp;'Planilla Mensual'!M4,'BD Asistencia'!$D:$D,"&lt;="&amp;'Planilla Mensual'!N4)</f>
        <v>1</v>
      </c>
      <c r="Y4" s="8">
        <f>+COUNTIFS('BD Asistencia'!$E:$E,"h/A",'BD Asistencia'!$C:$C,'Planilla Mensual'!$D4,'BD Asistencia'!$D:$D,"&gt;="&amp;'Planilla Mensual'!M4,'BD Asistencia'!$D:$D,"&lt;="&amp;'Planilla Mensual'!N4)</f>
        <v>0</v>
      </c>
      <c r="Z4" s="8">
        <f>+COUNTIFS('BD Asistencia'!$H:$H,"NO REMUNERADO",'BD Asistencia'!$C:$C,'Planilla Mensual'!$D4,'BD Asistencia'!$D:$D,"&gt;="&amp;'Planilla Mensual'!M4,'BD Asistencia'!$D:$D,"&lt;="&amp;'Planilla Mensual'!N4)-U4</f>
        <v>0</v>
      </c>
      <c r="AA4" s="8">
        <f>+COUNTIFS('BD Asistencia'!$E:$E,"F",'BD Asistencia'!$C:$C,'Planilla Mensual'!$D4,'BD Asistencia'!$D:$D,"&gt;="&amp;'Planilla Mensual'!M4,'BD Asistencia'!$D:$D,"&lt;="&amp;'Planilla Mensual'!N4)</f>
        <v>0</v>
      </c>
      <c r="AB4" s="8">
        <f>+SUM(S4:AA4)</f>
        <v>15</v>
      </c>
      <c r="AC4" s="8">
        <v>6</v>
      </c>
      <c r="AD4" s="4">
        <f>+Q4/30*SUM(V4:Y4)</f>
        <v>650</v>
      </c>
      <c r="AE4" s="4">
        <f t="shared" ref="AE4:AE17" si="0">IF(P4="SI",113/2,0)</f>
        <v>56.5</v>
      </c>
      <c r="AF4" s="4">
        <f t="shared" ref="AF4:AF19" si="1">+(Q4/30*Y4)*2</f>
        <v>0</v>
      </c>
      <c r="AG4" s="4">
        <v>200</v>
      </c>
      <c r="AH4" s="4">
        <f>+AC4*A4</f>
        <v>90</v>
      </c>
      <c r="AI4" s="4">
        <f>+SUM(AD4:AH4)</f>
        <v>996.5</v>
      </c>
      <c r="AJ4" s="4">
        <f>+V4*IF(RIGHT(F4,2)="N3",16,IF(RIGHT(F4,2)="N2",8,4))</f>
        <v>208</v>
      </c>
      <c r="AK4" s="4">
        <f>V4*30</f>
        <v>390</v>
      </c>
      <c r="AL4" s="4">
        <f t="shared" ref="AL4:AL17" si="2">IF(G4="ONP",0,AI4*0.1)</f>
        <v>99.65</v>
      </c>
      <c r="AM4" s="4">
        <f t="shared" ref="AM4:AM17" si="3">IF(G4="ONP",0,AI4*1.37%)</f>
        <v>13.652050000000001</v>
      </c>
      <c r="AN4" s="4">
        <f t="shared" ref="AN4:AN17" si="4">+IF(G4="ONP",AI4*0.13,0)</f>
        <v>0</v>
      </c>
      <c r="AO4" s="4">
        <v>0</v>
      </c>
      <c r="AP4" s="4">
        <v>250</v>
      </c>
      <c r="AQ4" s="4">
        <v>0</v>
      </c>
      <c r="AR4" s="4">
        <f>+SUM(AL4:AQ4)</f>
        <v>363.30205000000001</v>
      </c>
      <c r="AS4" s="4">
        <f>AI4-SUM(AL4:AQ4)</f>
        <v>633.19794999999999</v>
      </c>
      <c r="AT4" s="4">
        <f>AJ4+AK4</f>
        <v>598</v>
      </c>
      <c r="AU4" s="4"/>
      <c r="AV4" s="4">
        <f>AS4+AT4</f>
        <v>1231.19795</v>
      </c>
      <c r="AX4" s="4">
        <f>+IF(RIGHT(F4,2)="N3",300,0)</f>
        <v>300</v>
      </c>
      <c r="AY4" s="4">
        <f>+AX4/30*SUM(V4:Y4)</f>
        <v>150</v>
      </c>
      <c r="AZ4" s="4">
        <f>+R4*S4</f>
        <v>0</v>
      </c>
      <c r="BA4" s="4">
        <f>+S4*30</f>
        <v>0</v>
      </c>
      <c r="BB4" s="4"/>
      <c r="BC4" s="4">
        <f>+AY4+AV4+AZ4+BA4+BB4</f>
        <v>1381.19795</v>
      </c>
      <c r="BD4" s="4">
        <f>AI4+AU4+AT4+AY4+AZ4+BA4+BB4</f>
        <v>1744.5</v>
      </c>
      <c r="BE4" s="3">
        <f>(BC4+AQ4)/(V4+S4)</f>
        <v>106.24599615384615</v>
      </c>
      <c r="BF4" s="3">
        <f>+BE4*26</f>
        <v>2762.3959</v>
      </c>
      <c r="BG4" s="30">
        <f>(AV4+AY4+SUM(AL4:AQ4))/(V4+W4)</f>
        <v>124.60714285714286</v>
      </c>
      <c r="BH4" s="30" t="e">
        <f>+(AZ4+BA4)/(S4+T4)</f>
        <v>#DIV/0!</v>
      </c>
      <c r="BI4">
        <f>+BD4/V4</f>
        <v>134.19230769230768</v>
      </c>
      <c r="BJ4">
        <f>180*2</f>
        <v>360</v>
      </c>
      <c r="BK4" s="3">
        <f>+BC4-BJ4</f>
        <v>1021.19795</v>
      </c>
    </row>
    <row r="5" spans="1:63" x14ac:dyDescent="0.3">
      <c r="A5">
        <v>15</v>
      </c>
      <c r="B5" s="6" t="s">
        <v>177</v>
      </c>
      <c r="C5" s="6">
        <v>70751973</v>
      </c>
      <c r="D5" s="6" t="s">
        <v>142</v>
      </c>
      <c r="E5" s="7">
        <v>34913</v>
      </c>
      <c r="F5" s="6" t="s">
        <v>65</v>
      </c>
      <c r="G5" s="6" t="s">
        <v>31</v>
      </c>
      <c r="H5" s="6"/>
      <c r="I5" s="6" t="s">
        <v>118</v>
      </c>
      <c r="J5" s="6" t="s">
        <v>122</v>
      </c>
      <c r="K5" s="6"/>
      <c r="L5" s="7">
        <v>46146</v>
      </c>
      <c r="M5" s="7">
        <v>46143</v>
      </c>
      <c r="N5" s="7">
        <v>46157</v>
      </c>
      <c r="O5" s="7" t="str">
        <f t="shared" ref="O5:O34" si="5">+TEXT(M5,"mmmm")&amp;" - "&amp;YEAR(M5)&amp;MONTH(M5)</f>
        <v>Mayo - 20265</v>
      </c>
      <c r="P5" s="8" t="s">
        <v>41</v>
      </c>
      <c r="Q5" s="4">
        <v>1300</v>
      </c>
      <c r="R5" s="4">
        <v>110</v>
      </c>
      <c r="S5" s="8">
        <f>+COUNTIFS('BD Asistencia'!$E:$E,"A",'BD Asistencia'!$C:$C,'Planilla Mensual'!$D5,'BD Asistencia'!$D:$D,"&lt;"&amp;'Planilla Mensual'!L5)</f>
        <v>2</v>
      </c>
      <c r="T5" s="8">
        <f>+COUNTIFS('BD Asistencia'!$E:$E,"DR",'BD Asistencia'!$C:$C,'Planilla Mensual'!$D5,'BD Asistencia'!$D:$D,"&lt;"&amp;L5)</f>
        <v>0</v>
      </c>
      <c r="U5" s="8">
        <f>+COUNTIFS('BD Asistencia'!$H:$H,"NO REMUNERADO",'BD Asistencia'!$C:$C,'Planilla Mensual'!$D5,'BD Asistencia'!$D:$D,"&lt;"&amp;L5)</f>
        <v>1</v>
      </c>
      <c r="V5" s="8">
        <f>+COUNTIFS('BD Asistencia'!$E:$E,"A",'BD Asistencia'!$C:$C,'Planilla Mensual'!$D5,'BD Asistencia'!$D:$D,"&gt;="&amp;'Planilla Mensual'!M5,'BD Asistencia'!$D:$D,"&lt;="&amp;'Planilla Mensual'!N5)-S5</f>
        <v>11</v>
      </c>
      <c r="W5" s="8">
        <f>+COUNTIFS('BD Asistencia'!$E:$E,"DR",'BD Asistencia'!$C:$C,'Planilla Mensual'!$D5,'BD Asistencia'!$D:$D,"&gt;="&amp;'Planilla Mensual'!M5,'BD Asistencia'!$D:$D,"&lt;="&amp;'Planilla Mensual'!N5)-T5</f>
        <v>1</v>
      </c>
      <c r="X5" s="8">
        <f>+COUNTIFS('BD Asistencia'!$E:$E,"h",'BD Asistencia'!$C:$C,'Planilla Mensual'!$D5,'BD Asistencia'!$D:$D,"&gt;="&amp;'Planilla Mensual'!M5,'BD Asistencia'!$D:$D,"&lt;="&amp;'Planilla Mensual'!N5)</f>
        <v>0</v>
      </c>
      <c r="Y5" s="8">
        <f>+COUNTIFS('BD Asistencia'!$E:$E,"h/A",'BD Asistencia'!$C:$C,'Planilla Mensual'!$D5,'BD Asistencia'!$D:$D,"&gt;="&amp;'Planilla Mensual'!M5,'BD Asistencia'!$D:$D,"&lt;="&amp;'Planilla Mensual'!N5)</f>
        <v>0</v>
      </c>
      <c r="Z5" s="8">
        <f>+COUNTIFS('BD Asistencia'!$H:$H,"NO REMUNERADO",'BD Asistencia'!$C:$C,'Planilla Mensual'!$D5,'BD Asistencia'!$D:$D,"&gt;="&amp;'Planilla Mensual'!M5,'BD Asistencia'!$D:$D,"&lt;="&amp;'Planilla Mensual'!N5)-U5</f>
        <v>0</v>
      </c>
      <c r="AA5" s="8">
        <f>+COUNTIFS('BD Asistencia'!$E:$E,"F",'BD Asistencia'!$C:$C,'Planilla Mensual'!$D5,'BD Asistencia'!$D:$D,"&gt;="&amp;'Planilla Mensual'!M5,'BD Asistencia'!$D:$D,"&lt;="&amp;'Planilla Mensual'!N5)</f>
        <v>0</v>
      </c>
      <c r="AB5" s="8">
        <f t="shared" ref="AB5:AB36" si="6">+SUM(S5:AA5)</f>
        <v>15</v>
      </c>
      <c r="AC5" s="8">
        <v>0.8</v>
      </c>
      <c r="AD5" s="4">
        <f>+Q5/30*SUM(V5:Y5)</f>
        <v>520</v>
      </c>
      <c r="AE5" s="4">
        <f t="shared" si="0"/>
        <v>56.5</v>
      </c>
      <c r="AF5" s="4">
        <f>+(Q5/30*Y5)*2</f>
        <v>0</v>
      </c>
      <c r="AG5" s="4">
        <v>200</v>
      </c>
      <c r="AH5" s="4">
        <f t="shared" ref="AH5:AH19" si="7">+AC5*A5</f>
        <v>12</v>
      </c>
      <c r="AI5" s="4">
        <f t="shared" ref="AI5:AI19" si="8">+SUM(AD5:AH5)</f>
        <v>788.5</v>
      </c>
      <c r="AJ5" s="4">
        <f>+V5*IF(RIGHT(F5,2)="N3",16,IF(RIGHT(F5,2)="N2",8,4))</f>
        <v>176</v>
      </c>
      <c r="AK5" s="4">
        <f>V5*30</f>
        <v>330</v>
      </c>
      <c r="AL5" s="4">
        <f t="shared" si="2"/>
        <v>0</v>
      </c>
      <c r="AM5" s="4">
        <f t="shared" si="3"/>
        <v>0</v>
      </c>
      <c r="AN5" s="4">
        <f t="shared" si="4"/>
        <v>102.50500000000001</v>
      </c>
      <c r="AO5" s="4">
        <v>0</v>
      </c>
      <c r="AP5" s="4"/>
      <c r="AQ5" s="4">
        <v>0</v>
      </c>
      <c r="AR5" s="4">
        <f>+SUM(AL5:AQ5)</f>
        <v>102.50500000000001</v>
      </c>
      <c r="AS5" s="4">
        <f>AI5-SUM(AL5:AQ5)</f>
        <v>685.995</v>
      </c>
      <c r="AT5" s="4">
        <f>AJ5+AK5</f>
        <v>506</v>
      </c>
      <c r="AU5" s="4"/>
      <c r="AV5" s="4">
        <f t="shared" ref="AV5:AV17" si="9">AS5+AT5</f>
        <v>1191.9949999999999</v>
      </c>
      <c r="AX5" s="4">
        <f>+IF(RIGHT(F5,2)="N3",300,0)</f>
        <v>300</v>
      </c>
      <c r="AY5" s="4">
        <f>+AX5/30*SUM(V5:Y5)</f>
        <v>120</v>
      </c>
      <c r="AZ5" s="4">
        <f>+R5*S5</f>
        <v>220</v>
      </c>
      <c r="BA5" s="4">
        <f>+S5*30</f>
        <v>60</v>
      </c>
      <c r="BB5" s="4"/>
      <c r="BC5" s="4">
        <f t="shared" ref="BC5:BC36" si="10">+AY5+AV5+AZ5+BA5+BB5</f>
        <v>1591.9949999999999</v>
      </c>
      <c r="BD5" s="4">
        <f>AI5+AU5+AT5+AY5+AZ5+BA5+BB5</f>
        <v>1694.5</v>
      </c>
      <c r="BE5" s="3">
        <f>(BC5+AQ5)/(V5+S5)</f>
        <v>122.46115384615383</v>
      </c>
      <c r="BF5" s="3">
        <f t="shared" ref="BF5:BF19" si="11">+BE5*26</f>
        <v>3183.99</v>
      </c>
      <c r="BG5" s="30">
        <f>(AV5+AY5+SUM(AL5:AQ5))/V5</f>
        <v>128.59090909090909</v>
      </c>
      <c r="BH5" s="30">
        <f>+(AZ5+BA5)/(S5+T5)</f>
        <v>140</v>
      </c>
      <c r="BI5">
        <f>+BD5/V5</f>
        <v>154.04545454545453</v>
      </c>
      <c r="BJ5">
        <f t="shared" ref="BJ5:BJ10" si="12">180*2</f>
        <v>360</v>
      </c>
      <c r="BK5" s="3">
        <f t="shared" ref="BK5:BK9" si="13">+BC5-BJ5</f>
        <v>1231.9949999999999</v>
      </c>
    </row>
    <row r="6" spans="1:63" x14ac:dyDescent="0.3">
      <c r="A6">
        <v>15</v>
      </c>
      <c r="B6" s="6" t="s">
        <v>177</v>
      </c>
      <c r="C6" s="6">
        <v>75792147</v>
      </c>
      <c r="D6" s="6" t="s">
        <v>100</v>
      </c>
      <c r="E6" s="7">
        <v>38228</v>
      </c>
      <c r="F6" s="6" t="s">
        <v>65</v>
      </c>
      <c r="G6" s="6" t="s">
        <v>52</v>
      </c>
      <c r="H6" s="6" t="s">
        <v>54</v>
      </c>
      <c r="I6" s="6" t="s">
        <v>118</v>
      </c>
      <c r="J6" s="6" t="s">
        <v>123</v>
      </c>
      <c r="K6" s="6"/>
      <c r="L6" s="7">
        <v>46146</v>
      </c>
      <c r="M6" s="7">
        <v>46143</v>
      </c>
      <c r="N6" s="7">
        <v>46157</v>
      </c>
      <c r="O6" s="7" t="str">
        <f t="shared" si="5"/>
        <v>Mayo - 20265</v>
      </c>
      <c r="P6" s="8" t="s">
        <v>64</v>
      </c>
      <c r="Q6" s="4">
        <v>1300</v>
      </c>
      <c r="R6" s="4">
        <v>120</v>
      </c>
      <c r="S6" s="8">
        <f>+COUNTIFS('BD Asistencia'!$E:$E,"A",'BD Asistencia'!$C:$C,'Planilla Mensual'!$D6,'BD Asistencia'!$D:$D,"&lt;"&amp;'Planilla Mensual'!L6)</f>
        <v>1</v>
      </c>
      <c r="T6" s="8">
        <f>+COUNTIFS('BD Asistencia'!$E:$E,"DR",'BD Asistencia'!$C:$C,'Planilla Mensual'!$D6,'BD Asistencia'!$D:$D,"&lt;"&amp;L6)</f>
        <v>0</v>
      </c>
      <c r="U6" s="8">
        <f>+COUNTIFS('BD Asistencia'!$H:$H,"NO REMUNERADO",'BD Asistencia'!$C:$C,'Planilla Mensual'!$D6,'BD Asistencia'!$D:$D,"&lt;"&amp;L6)</f>
        <v>2</v>
      </c>
      <c r="V6" s="32">
        <v>11</v>
      </c>
      <c r="W6" s="8">
        <f>+COUNTIFS('BD Asistencia'!$E:$E,"DR",'BD Asistencia'!$C:$C,'Planilla Mensual'!$D6,'BD Asistencia'!$D:$D,"&gt;="&amp;'Planilla Mensual'!M6,'BD Asistencia'!$D:$D,"&lt;="&amp;'Planilla Mensual'!N6)-T6</f>
        <v>1</v>
      </c>
      <c r="X6" s="8">
        <f>+COUNTIFS('BD Asistencia'!$E:$E,"h",'BD Asistencia'!$C:$C,'Planilla Mensual'!$D6,'BD Asistencia'!$D:$D,"&gt;="&amp;'Planilla Mensual'!M6,'BD Asistencia'!$D:$D,"&lt;="&amp;'Planilla Mensual'!N6)</f>
        <v>0</v>
      </c>
      <c r="Y6" s="8">
        <f>+COUNTIFS('BD Asistencia'!$E:$E,"h/A",'BD Asistencia'!$C:$C,'Planilla Mensual'!$D6,'BD Asistencia'!$D:$D,"&gt;="&amp;'Planilla Mensual'!M6,'BD Asistencia'!$D:$D,"&lt;="&amp;'Planilla Mensual'!N6)</f>
        <v>0</v>
      </c>
      <c r="Z6" s="8">
        <f>+COUNTIFS('BD Asistencia'!$H:$H,"NO REMUNERADO",'BD Asistencia'!$C:$C,'Planilla Mensual'!$D6,'BD Asistencia'!$D:$D,"&gt;="&amp;'Planilla Mensual'!M6,'BD Asistencia'!$D:$D,"&lt;="&amp;'Planilla Mensual'!N6)-U6</f>
        <v>0</v>
      </c>
      <c r="AA6" s="8">
        <f>+COUNTIFS('BD Asistencia'!$E:$E,"F",'BD Asistencia'!$C:$C,'Planilla Mensual'!$D6,'BD Asistencia'!$D:$D,"&gt;="&amp;'Planilla Mensual'!M6,'BD Asistencia'!$D:$D,"&lt;="&amp;'Planilla Mensual'!N6)</f>
        <v>0</v>
      </c>
      <c r="AB6" s="8">
        <f t="shared" si="6"/>
        <v>15</v>
      </c>
      <c r="AC6" s="8">
        <v>6.3</v>
      </c>
      <c r="AD6" s="4">
        <f>+Q6/30*SUM(V6:Y6)</f>
        <v>520</v>
      </c>
      <c r="AE6" s="4">
        <f t="shared" si="0"/>
        <v>0</v>
      </c>
      <c r="AF6" s="4">
        <f t="shared" si="1"/>
        <v>0</v>
      </c>
      <c r="AG6" s="4">
        <v>200</v>
      </c>
      <c r="AH6" s="4">
        <f t="shared" si="7"/>
        <v>94.5</v>
      </c>
      <c r="AI6" s="4">
        <f t="shared" si="8"/>
        <v>814.5</v>
      </c>
      <c r="AJ6" s="4">
        <f t="shared" ref="AJ6:AJ17" si="14">+V6*IF(RIGHT(F6,2)="N3",16,IF(RIGHT(F6,2)="N2",8,4))</f>
        <v>176</v>
      </c>
      <c r="AK6" s="4">
        <f t="shared" ref="AK6:AK17" si="15">V6*30</f>
        <v>330</v>
      </c>
      <c r="AL6" s="4">
        <f t="shared" si="2"/>
        <v>81.45</v>
      </c>
      <c r="AM6" s="4">
        <f t="shared" si="3"/>
        <v>11.15865</v>
      </c>
      <c r="AN6" s="4">
        <f t="shared" si="4"/>
        <v>0</v>
      </c>
      <c r="AO6" s="4">
        <v>0</v>
      </c>
      <c r="AP6" s="4"/>
      <c r="AQ6" s="4">
        <v>0</v>
      </c>
      <c r="AR6" s="4">
        <f>+SUM(AL6:AQ6)</f>
        <v>92.608649999999997</v>
      </c>
      <c r="AS6" s="4">
        <f>AI6-SUM(AL6:AQ6)</f>
        <v>721.89134999999999</v>
      </c>
      <c r="AT6" s="4">
        <f>AJ6+AK6</f>
        <v>506</v>
      </c>
      <c r="AU6" s="4"/>
      <c r="AV6" s="4">
        <f t="shared" si="9"/>
        <v>1227.8913499999999</v>
      </c>
      <c r="AX6" s="4">
        <f>+IF(RIGHT(F6,2)="N3",300,0)</f>
        <v>300</v>
      </c>
      <c r="AY6" s="4">
        <f>+AX6/30*SUM(V6:Y6)</f>
        <v>120</v>
      </c>
      <c r="AZ6" s="4">
        <f>+R6*S6</f>
        <v>120</v>
      </c>
      <c r="BA6" s="4">
        <f>+S6*30</f>
        <v>30</v>
      </c>
      <c r="BB6" s="4"/>
      <c r="BC6" s="4">
        <f t="shared" si="10"/>
        <v>1497.8913499999999</v>
      </c>
      <c r="BD6" s="4">
        <f>AI6+AU6+AT6+AY6+AZ6+BA6+BB6</f>
        <v>1590.5</v>
      </c>
      <c r="BE6" s="3">
        <f>(BC6+AQ6)/(V6+S6)</f>
        <v>124.82427916666666</v>
      </c>
      <c r="BF6" s="3">
        <f t="shared" si="11"/>
        <v>3245.4312583333331</v>
      </c>
      <c r="BG6" s="30">
        <f>(AV6+AY6+SUM(AL6:AQ6))/V6</f>
        <v>130.95454545454544</v>
      </c>
      <c r="BH6" s="30">
        <f>+(AZ6+BA6)/(S6+T6)</f>
        <v>150</v>
      </c>
      <c r="BI6">
        <f>+BD6/V6</f>
        <v>144.59090909090909</v>
      </c>
      <c r="BJ6">
        <f t="shared" si="12"/>
        <v>360</v>
      </c>
      <c r="BK6" s="3">
        <f t="shared" si="13"/>
        <v>1137.8913499999999</v>
      </c>
    </row>
    <row r="7" spans="1:63" x14ac:dyDescent="0.3">
      <c r="A7">
        <v>15</v>
      </c>
      <c r="B7" s="6" t="s">
        <v>177</v>
      </c>
      <c r="C7" s="6">
        <v>74242456</v>
      </c>
      <c r="D7" s="6" t="s">
        <v>143</v>
      </c>
      <c r="E7" s="7">
        <v>37386</v>
      </c>
      <c r="F7" s="6" t="s">
        <v>65</v>
      </c>
      <c r="G7" s="6" t="s">
        <v>52</v>
      </c>
      <c r="H7" s="6" t="s">
        <v>55</v>
      </c>
      <c r="I7" s="6" t="s">
        <v>118</v>
      </c>
      <c r="J7" s="6" t="s">
        <v>124</v>
      </c>
      <c r="K7" s="6"/>
      <c r="L7" s="7">
        <v>46146</v>
      </c>
      <c r="M7" s="7">
        <v>46143</v>
      </c>
      <c r="N7" s="7">
        <v>46157</v>
      </c>
      <c r="O7" s="7" t="str">
        <f t="shared" si="5"/>
        <v>Mayo - 20265</v>
      </c>
      <c r="P7" s="8" t="s">
        <v>64</v>
      </c>
      <c r="Q7" s="4">
        <v>1300</v>
      </c>
      <c r="R7" s="4">
        <v>110</v>
      </c>
      <c r="S7" s="8">
        <f>+COUNTIFS('BD Asistencia'!$E:$E,"A",'BD Asistencia'!$C:$C,'Planilla Mensual'!$D7,'BD Asistencia'!$D:$D,"&lt;"&amp;'Planilla Mensual'!L7)</f>
        <v>2</v>
      </c>
      <c r="T7" s="8">
        <f>+COUNTIFS('BD Asistencia'!$E:$E,"DR",'BD Asistencia'!$C:$C,'Planilla Mensual'!$D7,'BD Asistencia'!$D:$D,"&lt;"&amp;L7)</f>
        <v>0</v>
      </c>
      <c r="U7" s="8">
        <f>+COUNTIFS('BD Asistencia'!$H:$H,"NO REMUNERADO",'BD Asistencia'!$C:$C,'Planilla Mensual'!$D7,'BD Asistencia'!$D:$D,"&lt;"&amp;L7)</f>
        <v>1</v>
      </c>
      <c r="V7" s="8">
        <f>+COUNTIFS('BD Asistencia'!$E:$E,"A",'BD Asistencia'!$C:$C,'Planilla Mensual'!$D7,'BD Asistencia'!$D:$D,"&gt;="&amp;'Planilla Mensual'!M7,'BD Asistencia'!$D:$D,"&lt;="&amp;'Planilla Mensual'!N7)-S7</f>
        <v>11</v>
      </c>
      <c r="W7" s="8">
        <f>+COUNTIFS('BD Asistencia'!$E:$E,"DR",'BD Asistencia'!$C:$C,'Planilla Mensual'!$D7,'BD Asistencia'!$D:$D,"&gt;="&amp;'Planilla Mensual'!M7,'BD Asistencia'!$D:$D,"&lt;="&amp;'Planilla Mensual'!N7)-T7</f>
        <v>1</v>
      </c>
      <c r="X7" s="8">
        <f>+COUNTIFS('BD Asistencia'!$E:$E,"h",'BD Asistencia'!$C:$C,'Planilla Mensual'!$D7,'BD Asistencia'!$D:$D,"&gt;="&amp;'Planilla Mensual'!M7,'BD Asistencia'!$D:$D,"&lt;="&amp;'Planilla Mensual'!N7)</f>
        <v>0</v>
      </c>
      <c r="Y7" s="8">
        <f>+COUNTIFS('BD Asistencia'!$E:$E,"h/A",'BD Asistencia'!$C:$C,'Planilla Mensual'!$D7,'BD Asistencia'!$D:$D,"&gt;="&amp;'Planilla Mensual'!M7,'BD Asistencia'!$D:$D,"&lt;="&amp;'Planilla Mensual'!N7)</f>
        <v>0</v>
      </c>
      <c r="Z7" s="8">
        <f>+COUNTIFS('BD Asistencia'!$H:$H,"NO REMUNERADO",'BD Asistencia'!$C:$C,'Planilla Mensual'!$D7,'BD Asistencia'!$D:$D,"&gt;="&amp;'Planilla Mensual'!M7,'BD Asistencia'!$D:$D,"&lt;="&amp;'Planilla Mensual'!N7)-U7</f>
        <v>0</v>
      </c>
      <c r="AA7" s="8">
        <f>+COUNTIFS('BD Asistencia'!$E:$E,"F",'BD Asistencia'!$C:$C,'Planilla Mensual'!$D7,'BD Asistencia'!$D:$D,"&gt;="&amp;'Planilla Mensual'!M7,'BD Asistencia'!$D:$D,"&lt;="&amp;'Planilla Mensual'!N7)</f>
        <v>0</v>
      </c>
      <c r="AB7" s="8">
        <f t="shared" si="6"/>
        <v>15</v>
      </c>
      <c r="AC7" s="8">
        <v>0.8</v>
      </c>
      <c r="AD7" s="4">
        <f t="shared" ref="AD7:AD18" si="16">+Q7/30*SUM(V7:Y7)</f>
        <v>520</v>
      </c>
      <c r="AE7" s="4">
        <f t="shared" si="0"/>
        <v>0</v>
      </c>
      <c r="AF7" s="4">
        <f t="shared" si="1"/>
        <v>0</v>
      </c>
      <c r="AG7" s="4">
        <v>200</v>
      </c>
      <c r="AH7" s="4">
        <f t="shared" si="7"/>
        <v>12</v>
      </c>
      <c r="AI7" s="4">
        <f t="shared" si="8"/>
        <v>732</v>
      </c>
      <c r="AJ7" s="4">
        <f t="shared" si="14"/>
        <v>176</v>
      </c>
      <c r="AK7" s="4">
        <f t="shared" si="15"/>
        <v>330</v>
      </c>
      <c r="AL7" s="4">
        <f t="shared" si="2"/>
        <v>73.2</v>
      </c>
      <c r="AM7" s="4">
        <f t="shared" si="3"/>
        <v>10.0284</v>
      </c>
      <c r="AN7" s="4">
        <f t="shared" si="4"/>
        <v>0</v>
      </c>
      <c r="AO7" s="4">
        <v>0</v>
      </c>
      <c r="AP7" s="4"/>
      <c r="AQ7" s="4">
        <v>0</v>
      </c>
      <c r="AR7" s="4">
        <f>+SUM(AL7:AQ7)</f>
        <v>83.228400000000008</v>
      </c>
      <c r="AS7" s="4">
        <f>AI7-SUM(AL7:AQ7)</f>
        <v>648.77160000000003</v>
      </c>
      <c r="AT7" s="4">
        <f>AJ7+AK7</f>
        <v>506</v>
      </c>
      <c r="AU7" s="4"/>
      <c r="AV7" s="4">
        <f t="shared" si="9"/>
        <v>1154.7716</v>
      </c>
      <c r="AX7" s="4">
        <f>+IF(RIGHT(F7,2)="N3",300,0)</f>
        <v>300</v>
      </c>
      <c r="AY7" s="4">
        <f>+AX7/30*SUM(V7:Y7)</f>
        <v>120</v>
      </c>
      <c r="AZ7" s="4">
        <f>+R7*S7</f>
        <v>220</v>
      </c>
      <c r="BA7" s="4">
        <f>+S7*30</f>
        <v>60</v>
      </c>
      <c r="BB7" s="4"/>
      <c r="BC7" s="4">
        <f t="shared" si="10"/>
        <v>1554.7716</v>
      </c>
      <c r="BD7" s="4">
        <f>AI7+AU7+AT7+AY7+AZ7+BA7+BB7</f>
        <v>1638</v>
      </c>
      <c r="BE7" s="3">
        <f>(BC7+AQ7)/(V7+S7)</f>
        <v>119.59781538461539</v>
      </c>
      <c r="BF7" s="3">
        <f t="shared" si="11"/>
        <v>3109.5432000000001</v>
      </c>
      <c r="BG7" s="30">
        <f>(AV7+AY7+SUM(AL7:AQ7))/V7</f>
        <v>123.45454545454545</v>
      </c>
      <c r="BH7" s="30">
        <f>+(AZ7+BA7)/(S7+T7)</f>
        <v>140</v>
      </c>
      <c r="BI7">
        <f>+BD7/V7</f>
        <v>148.90909090909091</v>
      </c>
      <c r="BJ7">
        <f t="shared" si="12"/>
        <v>360</v>
      </c>
      <c r="BK7" s="3">
        <f t="shared" si="13"/>
        <v>1194.7716</v>
      </c>
    </row>
    <row r="8" spans="1:63" x14ac:dyDescent="0.3">
      <c r="A8">
        <v>15</v>
      </c>
      <c r="B8" s="6" t="s">
        <v>177</v>
      </c>
      <c r="C8" s="6">
        <v>48787545</v>
      </c>
      <c r="D8" s="6" t="s">
        <v>101</v>
      </c>
      <c r="E8" s="7">
        <v>34609</v>
      </c>
      <c r="F8" s="6" t="s">
        <v>65</v>
      </c>
      <c r="G8" s="6" t="s">
        <v>53</v>
      </c>
      <c r="H8" s="6" t="s">
        <v>56</v>
      </c>
      <c r="I8" s="6" t="s">
        <v>118</v>
      </c>
      <c r="J8" s="6" t="s">
        <v>125</v>
      </c>
      <c r="K8" s="6"/>
      <c r="L8" s="7">
        <v>46146</v>
      </c>
      <c r="M8" s="7">
        <v>46143</v>
      </c>
      <c r="N8" s="7">
        <v>46157</v>
      </c>
      <c r="O8" s="7" t="str">
        <f t="shared" si="5"/>
        <v>Mayo - 20265</v>
      </c>
      <c r="P8" s="8" t="s">
        <v>41</v>
      </c>
      <c r="Q8" s="4">
        <v>1300</v>
      </c>
      <c r="R8" s="4">
        <v>100</v>
      </c>
      <c r="S8" s="8">
        <f>+COUNTIFS('BD Asistencia'!$E:$E,"A",'BD Asistencia'!$C:$C,'Planilla Mensual'!$D8,'BD Asistencia'!$D:$D,"&lt;"&amp;'Planilla Mensual'!L8)</f>
        <v>1</v>
      </c>
      <c r="T8" s="8">
        <f>+COUNTIFS('BD Asistencia'!$E:$E,"DR",'BD Asistencia'!$C:$C,'Planilla Mensual'!$D8,'BD Asistencia'!$D:$D,"&lt;"&amp;L8)</f>
        <v>0</v>
      </c>
      <c r="U8" s="8">
        <f>+COUNTIFS('BD Asistencia'!$H:$H,"NO REMUNERADO",'BD Asistencia'!$C:$C,'Planilla Mensual'!$D8,'BD Asistencia'!$D:$D,"&lt;"&amp;L8)</f>
        <v>2</v>
      </c>
      <c r="V8" s="32">
        <v>11</v>
      </c>
      <c r="W8" s="8">
        <f>+COUNTIFS('BD Asistencia'!$E:$E,"DR",'BD Asistencia'!$C:$C,'Planilla Mensual'!$D8,'BD Asistencia'!$D:$D,"&gt;="&amp;'Planilla Mensual'!M8,'BD Asistencia'!$D:$D,"&lt;="&amp;'Planilla Mensual'!N8)-T8</f>
        <v>1</v>
      </c>
      <c r="X8" s="8">
        <f>+COUNTIFS('BD Asistencia'!$E:$E,"h",'BD Asistencia'!$C:$C,'Planilla Mensual'!$D8,'BD Asistencia'!$D:$D,"&gt;="&amp;'Planilla Mensual'!M8,'BD Asistencia'!$D:$D,"&lt;="&amp;'Planilla Mensual'!N8)</f>
        <v>0</v>
      </c>
      <c r="Y8" s="8">
        <f>+COUNTIFS('BD Asistencia'!$E:$E,"h/A",'BD Asistencia'!$C:$C,'Planilla Mensual'!$D8,'BD Asistencia'!$D:$D,"&gt;="&amp;'Planilla Mensual'!M8,'BD Asistencia'!$D:$D,"&lt;="&amp;'Planilla Mensual'!N8)</f>
        <v>0</v>
      </c>
      <c r="Z8" s="8">
        <f>+COUNTIFS('BD Asistencia'!$H:$H,"NO REMUNERADO",'BD Asistencia'!$C:$C,'Planilla Mensual'!$D8,'BD Asistencia'!$D:$D,"&gt;="&amp;'Planilla Mensual'!M8,'BD Asistencia'!$D:$D,"&lt;="&amp;'Planilla Mensual'!N8)-U8</f>
        <v>0</v>
      </c>
      <c r="AA8" s="8">
        <f>+COUNTIFS('BD Asistencia'!$E:$E,"F",'BD Asistencia'!$C:$C,'Planilla Mensual'!$D8,'BD Asistencia'!$D:$D,"&gt;="&amp;'Planilla Mensual'!M8,'BD Asistencia'!$D:$D,"&lt;="&amp;'Planilla Mensual'!N8)</f>
        <v>0</v>
      </c>
      <c r="AB8" s="8">
        <f t="shared" si="6"/>
        <v>15</v>
      </c>
      <c r="AC8" s="8">
        <v>4.5</v>
      </c>
      <c r="AD8" s="4">
        <f t="shared" si="16"/>
        <v>520</v>
      </c>
      <c r="AE8" s="4">
        <f t="shared" si="0"/>
        <v>56.5</v>
      </c>
      <c r="AF8" s="4">
        <f t="shared" si="1"/>
        <v>0</v>
      </c>
      <c r="AG8" s="4">
        <v>200</v>
      </c>
      <c r="AH8" s="4">
        <f t="shared" si="7"/>
        <v>67.5</v>
      </c>
      <c r="AI8" s="4">
        <f t="shared" si="8"/>
        <v>844</v>
      </c>
      <c r="AJ8" s="4">
        <f t="shared" si="14"/>
        <v>176</v>
      </c>
      <c r="AK8" s="4">
        <f t="shared" si="15"/>
        <v>330</v>
      </c>
      <c r="AL8" s="4">
        <f t="shared" si="2"/>
        <v>84.4</v>
      </c>
      <c r="AM8" s="4">
        <f t="shared" si="3"/>
        <v>11.562800000000001</v>
      </c>
      <c r="AN8" s="4">
        <f t="shared" si="4"/>
        <v>0</v>
      </c>
      <c r="AO8" s="4">
        <v>0</v>
      </c>
      <c r="AP8" s="4"/>
      <c r="AQ8" s="4">
        <v>0</v>
      </c>
      <c r="AR8" s="4">
        <f>+SUM(AL8:AQ8)</f>
        <v>95.962800000000001</v>
      </c>
      <c r="AS8" s="4">
        <f>AI8-SUM(AL8:AQ8)</f>
        <v>748.03719999999998</v>
      </c>
      <c r="AT8" s="4">
        <f>AJ8+AK8</f>
        <v>506</v>
      </c>
      <c r="AU8" s="4"/>
      <c r="AV8" s="4">
        <f t="shared" si="9"/>
        <v>1254.0372</v>
      </c>
      <c r="AX8" s="4">
        <f>+IF(RIGHT(F8,2)="N3",300,0)</f>
        <v>300</v>
      </c>
      <c r="AY8" s="4">
        <f>+AX8/30*SUM(V8:Y8)</f>
        <v>120</v>
      </c>
      <c r="AZ8" s="4">
        <f>+R8*S8</f>
        <v>100</v>
      </c>
      <c r="BA8" s="4">
        <f>+S8*30</f>
        <v>30</v>
      </c>
      <c r="BB8" s="4"/>
      <c r="BC8" s="4">
        <f t="shared" si="10"/>
        <v>1504.0372</v>
      </c>
      <c r="BD8" s="4">
        <f>AI8+AU8+AT8+AY8+AZ8+BA8+BB8</f>
        <v>1600</v>
      </c>
      <c r="BE8" s="3">
        <f>(BC8+AQ8)/(V8+S8)</f>
        <v>125.33643333333333</v>
      </c>
      <c r="BF8" s="3">
        <f t="shared" si="11"/>
        <v>3258.7472666666667</v>
      </c>
      <c r="BG8" s="30">
        <f>(AV8+AY8+SUM(AL8:AQ8))/V8</f>
        <v>133.63636363636363</v>
      </c>
      <c r="BH8" s="30">
        <f>+(AZ8+BA8)/(S8+T8)</f>
        <v>130</v>
      </c>
      <c r="BI8">
        <f>+BD8/V8</f>
        <v>145.45454545454547</v>
      </c>
      <c r="BJ8">
        <f t="shared" si="12"/>
        <v>360</v>
      </c>
      <c r="BK8" s="3">
        <f t="shared" si="13"/>
        <v>1144.0372</v>
      </c>
    </row>
    <row r="9" spans="1:63" x14ac:dyDescent="0.3">
      <c r="A9">
        <v>15</v>
      </c>
      <c r="B9" s="6" t="s">
        <v>177</v>
      </c>
      <c r="C9" s="6">
        <v>73814026</v>
      </c>
      <c r="D9" s="6" t="s">
        <v>144</v>
      </c>
      <c r="E9" s="7">
        <v>36718</v>
      </c>
      <c r="F9" s="6" t="s">
        <v>66</v>
      </c>
      <c r="G9" s="6" t="s">
        <v>52</v>
      </c>
      <c r="H9" s="6" t="s">
        <v>57</v>
      </c>
      <c r="I9" s="6" t="s">
        <v>118</v>
      </c>
      <c r="J9" s="6" t="s">
        <v>126</v>
      </c>
      <c r="K9" s="6"/>
      <c r="L9" s="7">
        <v>46146</v>
      </c>
      <c r="M9" s="7">
        <v>46143</v>
      </c>
      <c r="N9" s="7">
        <v>46157</v>
      </c>
      <c r="O9" s="7" t="str">
        <f t="shared" si="5"/>
        <v>Mayo - 20265</v>
      </c>
      <c r="P9" s="8" t="s">
        <v>41</v>
      </c>
      <c r="Q9" s="4">
        <v>1200</v>
      </c>
      <c r="R9" s="4">
        <v>80</v>
      </c>
      <c r="S9" s="8">
        <f>+COUNTIFS('BD Asistencia'!$E:$E,"A",'BD Asistencia'!$C:$C,'Planilla Mensual'!$D9,'BD Asistencia'!$D:$D,"&lt;"&amp;'Planilla Mensual'!L9)</f>
        <v>2</v>
      </c>
      <c r="T9" s="8">
        <f>+COUNTIFS('BD Asistencia'!$E:$E,"DR",'BD Asistencia'!$C:$C,'Planilla Mensual'!$D9,'BD Asistencia'!$D:$D,"&lt;"&amp;L9)</f>
        <v>0</v>
      </c>
      <c r="U9" s="8">
        <f>+COUNTIFS('BD Asistencia'!$H:$H,"NO REMUNERADO",'BD Asistencia'!$C:$C,'Planilla Mensual'!$D9,'BD Asistencia'!$D:$D,"&lt;"&amp;L9)</f>
        <v>1</v>
      </c>
      <c r="V9" s="8">
        <f>+COUNTIFS('BD Asistencia'!$E:$E,"A",'BD Asistencia'!$C:$C,'Planilla Mensual'!$D9,'BD Asistencia'!$D:$D,"&gt;="&amp;'Planilla Mensual'!M9,'BD Asistencia'!$D:$D,"&lt;="&amp;'Planilla Mensual'!N9)-S9</f>
        <v>11</v>
      </c>
      <c r="W9" s="8">
        <f>+COUNTIFS('BD Asistencia'!$E:$E,"DR",'BD Asistencia'!$C:$C,'Planilla Mensual'!$D9,'BD Asistencia'!$D:$D,"&gt;="&amp;'Planilla Mensual'!M9,'BD Asistencia'!$D:$D,"&lt;="&amp;'Planilla Mensual'!N9)-T9</f>
        <v>1</v>
      </c>
      <c r="X9" s="8">
        <f>+COUNTIFS('BD Asistencia'!$E:$E,"h",'BD Asistencia'!$C:$C,'Planilla Mensual'!$D9,'BD Asistencia'!$D:$D,"&gt;="&amp;'Planilla Mensual'!M9,'BD Asistencia'!$D:$D,"&lt;="&amp;'Planilla Mensual'!N9)</f>
        <v>0</v>
      </c>
      <c r="Y9" s="8">
        <f>+COUNTIFS('BD Asistencia'!$E:$E,"h/A",'BD Asistencia'!$C:$C,'Planilla Mensual'!$D9,'BD Asistencia'!$D:$D,"&gt;="&amp;'Planilla Mensual'!M9,'BD Asistencia'!$D:$D,"&lt;="&amp;'Planilla Mensual'!N9)</f>
        <v>0</v>
      </c>
      <c r="Z9" s="8">
        <f>+COUNTIFS('BD Asistencia'!$H:$H,"NO REMUNERADO",'BD Asistencia'!$C:$C,'Planilla Mensual'!$D9,'BD Asistencia'!$D:$D,"&gt;="&amp;'Planilla Mensual'!M9,'BD Asistencia'!$D:$D,"&lt;="&amp;'Planilla Mensual'!N9)-U9</f>
        <v>0</v>
      </c>
      <c r="AA9" s="8">
        <f>+COUNTIFS('BD Asistencia'!$E:$E,"F",'BD Asistencia'!$C:$C,'Planilla Mensual'!$D9,'BD Asistencia'!$D:$D,"&gt;="&amp;'Planilla Mensual'!M9,'BD Asistencia'!$D:$D,"&lt;="&amp;'Planilla Mensual'!N9)</f>
        <v>0</v>
      </c>
      <c r="AB9" s="8">
        <f t="shared" si="6"/>
        <v>15</v>
      </c>
      <c r="AC9" s="8"/>
      <c r="AD9" s="4">
        <f t="shared" si="16"/>
        <v>480</v>
      </c>
      <c r="AE9" s="4">
        <f t="shared" si="0"/>
        <v>56.5</v>
      </c>
      <c r="AF9" s="4">
        <f t="shared" si="1"/>
        <v>0</v>
      </c>
      <c r="AG9" s="4">
        <v>200</v>
      </c>
      <c r="AH9" s="4">
        <f t="shared" si="7"/>
        <v>0</v>
      </c>
      <c r="AI9" s="4">
        <f t="shared" si="8"/>
        <v>736.5</v>
      </c>
      <c r="AJ9" s="4">
        <f t="shared" si="14"/>
        <v>44</v>
      </c>
      <c r="AK9" s="4">
        <f t="shared" si="15"/>
        <v>330</v>
      </c>
      <c r="AL9" s="4">
        <f t="shared" si="2"/>
        <v>73.650000000000006</v>
      </c>
      <c r="AM9" s="4">
        <f t="shared" si="3"/>
        <v>10.09005</v>
      </c>
      <c r="AN9" s="4">
        <f t="shared" si="4"/>
        <v>0</v>
      </c>
      <c r="AO9" s="4">
        <v>0</v>
      </c>
      <c r="AP9" s="4"/>
      <c r="AQ9" s="4">
        <v>0</v>
      </c>
      <c r="AR9" s="4">
        <f>+SUM(AL9:AQ9)</f>
        <v>83.740050000000011</v>
      </c>
      <c r="AS9" s="4">
        <f>AI9-SUM(AL9:AQ9)</f>
        <v>652.75995</v>
      </c>
      <c r="AT9" s="4">
        <f>AJ9+AK9</f>
        <v>374</v>
      </c>
      <c r="AU9" s="4"/>
      <c r="AV9" s="4">
        <f t="shared" si="9"/>
        <v>1026.7599500000001</v>
      </c>
      <c r="AX9" s="4">
        <f>+IF(RIGHT(F9,2)="N3",300,0)</f>
        <v>0</v>
      </c>
      <c r="AY9" s="4">
        <f>+AX9/30*SUM(V9:Y9)</f>
        <v>0</v>
      </c>
      <c r="AZ9" s="4">
        <f>+R9*(S9+T9)</f>
        <v>160</v>
      </c>
      <c r="BA9" s="4">
        <f>+S9*30</f>
        <v>60</v>
      </c>
      <c r="BB9" s="4"/>
      <c r="BC9" s="4">
        <f t="shared" si="10"/>
        <v>1246.7599500000001</v>
      </c>
      <c r="BD9" s="4">
        <f>AI9+AU9+AT9+AY9+AZ9+BA9+BB9</f>
        <v>1330.5</v>
      </c>
      <c r="BE9" s="3">
        <f>(BC9+AQ9)/(V9+S9)</f>
        <v>95.904611538461552</v>
      </c>
      <c r="BF9" s="3">
        <f t="shared" si="11"/>
        <v>2493.5199000000002</v>
      </c>
      <c r="BG9" s="30">
        <f>(AV9+AY9+SUM(AL9:AQ9))/V9</f>
        <v>100.95454545454548</v>
      </c>
      <c r="BH9" s="30">
        <f>+(AZ9+BA9)/(S9+T9)</f>
        <v>110</v>
      </c>
      <c r="BI9">
        <f>+BD9/V9</f>
        <v>120.95454545454545</v>
      </c>
      <c r="BJ9">
        <f t="shared" si="12"/>
        <v>360</v>
      </c>
      <c r="BK9" s="3">
        <f t="shared" si="13"/>
        <v>886.75995000000012</v>
      </c>
    </row>
    <row r="10" spans="1:63" x14ac:dyDescent="0.3">
      <c r="A10">
        <v>15</v>
      </c>
      <c r="B10" s="6" t="s">
        <v>177</v>
      </c>
      <c r="C10" s="6">
        <v>80780158</v>
      </c>
      <c r="D10" s="6" t="s">
        <v>145</v>
      </c>
      <c r="E10" s="7">
        <v>39304</v>
      </c>
      <c r="F10" s="6" t="s">
        <v>66</v>
      </c>
      <c r="G10" s="6" t="s">
        <v>31</v>
      </c>
      <c r="H10" s="6"/>
      <c r="I10" s="6" t="s">
        <v>118</v>
      </c>
      <c r="J10" s="6" t="s">
        <v>127</v>
      </c>
      <c r="K10" s="6"/>
      <c r="L10" s="7">
        <v>46146</v>
      </c>
      <c r="M10" s="7">
        <v>46143</v>
      </c>
      <c r="N10" s="7">
        <v>46157</v>
      </c>
      <c r="O10" s="7" t="str">
        <f t="shared" si="5"/>
        <v>Mayo - 20265</v>
      </c>
      <c r="P10" s="8" t="s">
        <v>64</v>
      </c>
      <c r="Q10" s="4">
        <v>1200</v>
      </c>
      <c r="R10" s="4">
        <v>80</v>
      </c>
      <c r="S10" s="8">
        <f>+COUNTIFS('BD Asistencia'!$E:$E,"A",'BD Asistencia'!$C:$C,'Planilla Mensual'!$D10,'BD Asistencia'!$D:$D,"&lt;"&amp;'Planilla Mensual'!L10)</f>
        <v>1</v>
      </c>
      <c r="T10" s="8">
        <f>+COUNTIFS('BD Asistencia'!$E:$E,"DR",'BD Asistencia'!$C:$C,'Planilla Mensual'!$D10,'BD Asistencia'!$D:$D,"&lt;"&amp;L10)</f>
        <v>0</v>
      </c>
      <c r="U10" s="8">
        <f>+COUNTIFS('BD Asistencia'!$H:$H,"NO REMUNERADO",'BD Asistencia'!$C:$C,'Planilla Mensual'!$D10,'BD Asistencia'!$D:$D,"&lt;"&amp;L10)</f>
        <v>2</v>
      </c>
      <c r="V10" s="32">
        <v>11</v>
      </c>
      <c r="W10" s="8">
        <f>+COUNTIFS('BD Asistencia'!$E:$E,"DR",'BD Asistencia'!$C:$C,'Planilla Mensual'!$D10,'BD Asistencia'!$D:$D,"&gt;="&amp;'Planilla Mensual'!M10,'BD Asistencia'!$D:$D,"&lt;="&amp;'Planilla Mensual'!N10)-T10</f>
        <v>1</v>
      </c>
      <c r="X10" s="8">
        <f>+COUNTIFS('BD Asistencia'!$E:$E,"h",'BD Asistencia'!$C:$C,'Planilla Mensual'!$D10,'BD Asistencia'!$D:$D,"&gt;="&amp;'Planilla Mensual'!M10,'BD Asistencia'!$D:$D,"&lt;="&amp;'Planilla Mensual'!N10)</f>
        <v>0</v>
      </c>
      <c r="Y10" s="8">
        <f>+COUNTIFS('BD Asistencia'!$E:$E,"h/A",'BD Asistencia'!$C:$C,'Planilla Mensual'!$D10,'BD Asistencia'!$D:$D,"&gt;="&amp;'Planilla Mensual'!M10,'BD Asistencia'!$D:$D,"&lt;="&amp;'Planilla Mensual'!N10)</f>
        <v>0</v>
      </c>
      <c r="Z10" s="8">
        <f>+COUNTIFS('BD Asistencia'!$H:$H,"NO REMUNERADO",'BD Asistencia'!$C:$C,'Planilla Mensual'!$D10,'BD Asistencia'!$D:$D,"&gt;="&amp;'Planilla Mensual'!M10,'BD Asistencia'!$D:$D,"&lt;="&amp;'Planilla Mensual'!N10)-U10</f>
        <v>0</v>
      </c>
      <c r="AA10" s="8">
        <f>+COUNTIFS('BD Asistencia'!$E:$E,"F",'BD Asistencia'!$C:$C,'Planilla Mensual'!$D10,'BD Asistencia'!$D:$D,"&gt;="&amp;'Planilla Mensual'!M10,'BD Asistencia'!$D:$D,"&lt;="&amp;'Planilla Mensual'!N10)</f>
        <v>0</v>
      </c>
      <c r="AB10" s="8">
        <f t="shared" si="6"/>
        <v>15</v>
      </c>
      <c r="AC10" s="8"/>
      <c r="AD10" s="4">
        <f t="shared" si="16"/>
        <v>480</v>
      </c>
      <c r="AE10" s="4">
        <f t="shared" si="0"/>
        <v>0</v>
      </c>
      <c r="AF10" s="4">
        <f t="shared" si="1"/>
        <v>0</v>
      </c>
      <c r="AG10" s="4">
        <v>200</v>
      </c>
      <c r="AH10" s="4">
        <f t="shared" si="7"/>
        <v>0</v>
      </c>
      <c r="AI10" s="4">
        <f t="shared" si="8"/>
        <v>680</v>
      </c>
      <c r="AJ10" s="4">
        <f t="shared" si="14"/>
        <v>44</v>
      </c>
      <c r="AK10" s="4">
        <f t="shared" si="15"/>
        <v>330</v>
      </c>
      <c r="AL10" s="4">
        <f t="shared" si="2"/>
        <v>0</v>
      </c>
      <c r="AM10" s="4">
        <f t="shared" si="3"/>
        <v>0</v>
      </c>
      <c r="AN10" s="4">
        <f t="shared" si="4"/>
        <v>88.4</v>
      </c>
      <c r="AO10" s="4">
        <v>0</v>
      </c>
      <c r="AP10" s="4">
        <v>75</v>
      </c>
      <c r="AQ10" s="4">
        <v>0</v>
      </c>
      <c r="AR10" s="4">
        <f>+SUM(AL10:AQ10)</f>
        <v>163.4</v>
      </c>
      <c r="AS10" s="4">
        <f>AI10-SUM(AL10:AQ10)</f>
        <v>516.6</v>
      </c>
      <c r="AT10" s="4">
        <f>AJ10+AK10</f>
        <v>374</v>
      </c>
      <c r="AU10" s="4"/>
      <c r="AV10" s="4">
        <f t="shared" si="9"/>
        <v>890.6</v>
      </c>
      <c r="AX10" s="4">
        <f>+IF(RIGHT(F10,2)="N3",300,0)</f>
        <v>0</v>
      </c>
      <c r="AY10" s="4">
        <f>+AX10/30*SUM(V10:Y10)</f>
        <v>0</v>
      </c>
      <c r="AZ10" s="4">
        <f>+R10*(S10+T10)</f>
        <v>80</v>
      </c>
      <c r="BA10" s="4">
        <f>+S10*30</f>
        <v>30</v>
      </c>
      <c r="BB10" s="4"/>
      <c r="BC10" s="4">
        <f t="shared" si="10"/>
        <v>1000.6</v>
      </c>
      <c r="BD10" s="4">
        <f>AI10+AU10+AT10+AY10+AZ10+BA10+BB10</f>
        <v>1164</v>
      </c>
      <c r="BE10" s="3">
        <f>(BC10+AQ10)/(V10+S10)</f>
        <v>83.38333333333334</v>
      </c>
      <c r="BF10" s="3">
        <f t="shared" si="11"/>
        <v>2167.9666666666667</v>
      </c>
      <c r="BG10" s="30">
        <f>(AV10+AY10+SUM(AL10:AQ10))/V10</f>
        <v>95.818181818181813</v>
      </c>
      <c r="BH10" s="30">
        <f>+(AZ10+BA10)/(S10+T10)</f>
        <v>110</v>
      </c>
      <c r="BI10">
        <f>+BD10/V10</f>
        <v>105.81818181818181</v>
      </c>
      <c r="BJ10">
        <f t="shared" si="12"/>
        <v>360</v>
      </c>
      <c r="BK10" s="3">
        <f>+BC10-BJ10</f>
        <v>640.6</v>
      </c>
    </row>
    <row r="11" spans="1:63" x14ac:dyDescent="0.3">
      <c r="A11">
        <v>10</v>
      </c>
      <c r="B11" s="6" t="s">
        <v>177</v>
      </c>
      <c r="C11" s="6">
        <v>73322149</v>
      </c>
      <c r="D11" s="6" t="s">
        <v>91</v>
      </c>
      <c r="E11" s="7">
        <v>35920</v>
      </c>
      <c r="F11" s="6" t="s">
        <v>65</v>
      </c>
      <c r="G11" s="6" t="s">
        <v>53</v>
      </c>
      <c r="H11" s="6" t="s">
        <v>58</v>
      </c>
      <c r="I11" s="6" t="s">
        <v>119</v>
      </c>
      <c r="J11" s="6" t="s">
        <v>128</v>
      </c>
      <c r="K11" s="6" t="s">
        <v>136</v>
      </c>
      <c r="L11" s="7">
        <v>46146</v>
      </c>
      <c r="M11" s="7">
        <v>46143</v>
      </c>
      <c r="N11" s="7">
        <v>46157</v>
      </c>
      <c r="O11" s="7" t="str">
        <f t="shared" si="5"/>
        <v>Mayo - 20265</v>
      </c>
      <c r="P11" s="8" t="s">
        <v>41</v>
      </c>
      <c r="Q11" s="4">
        <v>1300</v>
      </c>
      <c r="R11" s="4">
        <v>100</v>
      </c>
      <c r="S11" s="8">
        <f>+COUNTIFS('BD Asistencia'!$E:$E,"A",'BD Asistencia'!$C:$C,'Planilla Mensual'!$D11,'BD Asistencia'!$D:$D,"&lt;"&amp;'Planilla Mensual'!L11)</f>
        <v>1</v>
      </c>
      <c r="T11" s="8">
        <f>+COUNTIFS('BD Asistencia'!$E:$E,"DR",'BD Asistencia'!$C:$C,'Planilla Mensual'!$D11,'BD Asistencia'!$D:$D,"&lt;"&amp;L11)</f>
        <v>0</v>
      </c>
      <c r="U11" s="8">
        <f>+COUNTIFS('BD Asistencia'!$H:$H,"NO REMUNERADO",'BD Asistencia'!$C:$C,'Planilla Mensual'!$D11,'BD Asistencia'!$D:$D,"&lt;"&amp;L11)</f>
        <v>2</v>
      </c>
      <c r="V11" s="8">
        <f>+COUNTIFS('BD Asistencia'!$E:$E,"A",'BD Asistencia'!$C:$C,'Planilla Mensual'!$D11,'BD Asistencia'!$D:$D,"&gt;="&amp;'Planilla Mensual'!M11,'BD Asistencia'!$D:$D,"&lt;="&amp;'Planilla Mensual'!N11)-S11</f>
        <v>11</v>
      </c>
      <c r="W11" s="8">
        <f>+COUNTIFS('BD Asistencia'!$E:$E,"DR",'BD Asistencia'!$C:$C,'Planilla Mensual'!$D11,'BD Asistencia'!$D:$D,"&gt;="&amp;'Planilla Mensual'!M11,'BD Asistencia'!$D:$D,"&lt;="&amp;'Planilla Mensual'!N11)-T11</f>
        <v>1</v>
      </c>
      <c r="X11" s="8">
        <f>+COUNTIFS('BD Asistencia'!$E:$E,"h",'BD Asistencia'!$C:$C,'Planilla Mensual'!$D11,'BD Asistencia'!$D:$D,"&gt;="&amp;'Planilla Mensual'!M11,'BD Asistencia'!$D:$D,"&lt;="&amp;'Planilla Mensual'!N11)</f>
        <v>0</v>
      </c>
      <c r="Y11" s="8">
        <f>+COUNTIFS('BD Asistencia'!$E:$E,"h/A",'BD Asistencia'!$C:$C,'Planilla Mensual'!$D11,'BD Asistencia'!$D:$D,"&gt;="&amp;'Planilla Mensual'!M11,'BD Asistencia'!$D:$D,"&lt;="&amp;'Planilla Mensual'!N11)</f>
        <v>0</v>
      </c>
      <c r="Z11" s="8">
        <f>+COUNTIFS('BD Asistencia'!$H:$H,"NO REMUNERADO",'BD Asistencia'!$C:$C,'Planilla Mensual'!$D11,'BD Asistencia'!$D:$D,"&gt;="&amp;'Planilla Mensual'!M11,'BD Asistencia'!$D:$D,"&lt;="&amp;'Planilla Mensual'!N11)-U11</f>
        <v>0</v>
      </c>
      <c r="AA11" s="8">
        <f>+COUNTIFS('BD Asistencia'!$E:$E,"F",'BD Asistencia'!$C:$C,'Planilla Mensual'!$D11,'BD Asistencia'!$D:$D,"&gt;="&amp;'Planilla Mensual'!M11,'BD Asistencia'!$D:$D,"&lt;="&amp;'Planilla Mensual'!N11)</f>
        <v>0</v>
      </c>
      <c r="AB11" s="8">
        <f t="shared" si="6"/>
        <v>15</v>
      </c>
      <c r="AC11" s="8">
        <v>5.5</v>
      </c>
      <c r="AD11" s="4">
        <f t="shared" si="16"/>
        <v>520</v>
      </c>
      <c r="AE11" s="4">
        <f t="shared" si="0"/>
        <v>56.5</v>
      </c>
      <c r="AF11" s="4">
        <f t="shared" si="1"/>
        <v>0</v>
      </c>
      <c r="AG11" s="4">
        <v>200</v>
      </c>
      <c r="AH11" s="4">
        <f t="shared" si="7"/>
        <v>55</v>
      </c>
      <c r="AI11" s="4">
        <f t="shared" si="8"/>
        <v>831.5</v>
      </c>
      <c r="AJ11" s="4">
        <f t="shared" si="14"/>
        <v>176</v>
      </c>
      <c r="AK11" s="4">
        <f t="shared" si="15"/>
        <v>330</v>
      </c>
      <c r="AL11" s="4">
        <f t="shared" si="2"/>
        <v>83.15</v>
      </c>
      <c r="AM11" s="4">
        <f t="shared" si="3"/>
        <v>11.391550000000001</v>
      </c>
      <c r="AN11" s="4">
        <f t="shared" si="4"/>
        <v>0</v>
      </c>
      <c r="AO11" s="4">
        <v>0</v>
      </c>
      <c r="AP11" s="4"/>
      <c r="AQ11" s="4">
        <v>40</v>
      </c>
      <c r="AR11" s="4">
        <f>+SUM(AL11:AQ11)</f>
        <v>134.54155</v>
      </c>
      <c r="AS11" s="4">
        <f>AI11-SUM(AL11:AQ11)</f>
        <v>696.95844999999997</v>
      </c>
      <c r="AT11" s="4">
        <f>AJ11+AK11</f>
        <v>506</v>
      </c>
      <c r="AU11" s="4"/>
      <c r="AV11" s="4">
        <f t="shared" si="9"/>
        <v>1202.9584500000001</v>
      </c>
      <c r="AX11" s="4">
        <f>+IF(RIGHT(F11,2)="N3",300,0)</f>
        <v>300</v>
      </c>
      <c r="AY11" s="4">
        <f>+AX11/30*SUM(V11:Y11)</f>
        <v>120</v>
      </c>
      <c r="AZ11" s="4">
        <f>+R11*(S11+T11)</f>
        <v>100</v>
      </c>
      <c r="BA11" s="4">
        <v>0</v>
      </c>
      <c r="BB11" s="4"/>
      <c r="BC11" s="4">
        <f t="shared" si="10"/>
        <v>1422.9584500000001</v>
      </c>
      <c r="BD11" s="4">
        <f>AI11+AU11+AT11+AY11+AZ11+BA11+BB11</f>
        <v>1557.5</v>
      </c>
      <c r="BE11" s="3">
        <f>(BC11+AQ11)/(V11+S11)</f>
        <v>121.91320416666667</v>
      </c>
      <c r="BF11" s="3">
        <f t="shared" si="11"/>
        <v>3169.7433083333335</v>
      </c>
      <c r="BG11" s="30">
        <f>(AV11+AY11+SUM(AL11:AQ11))/V11</f>
        <v>132.5</v>
      </c>
      <c r="BH11" s="30">
        <f>+(AZ11+BA11)/(S11+T11)</f>
        <v>100</v>
      </c>
      <c r="BI11">
        <f>+BD11/V11</f>
        <v>141.59090909090909</v>
      </c>
    </row>
    <row r="12" spans="1:63" x14ac:dyDescent="0.3">
      <c r="A12">
        <v>10</v>
      </c>
      <c r="B12" s="6" t="s">
        <v>177</v>
      </c>
      <c r="C12" s="6">
        <v>76768818</v>
      </c>
      <c r="D12" s="6" t="s">
        <v>146</v>
      </c>
      <c r="E12" s="7">
        <v>37200</v>
      </c>
      <c r="F12" s="6" t="s">
        <v>67</v>
      </c>
      <c r="G12" s="6" t="s">
        <v>52</v>
      </c>
      <c r="H12" s="6" t="s">
        <v>59</v>
      </c>
      <c r="I12" s="6" t="s">
        <v>118</v>
      </c>
      <c r="J12" s="6" t="s">
        <v>129</v>
      </c>
      <c r="K12" s="6"/>
      <c r="L12" s="7">
        <v>46146</v>
      </c>
      <c r="M12" s="7">
        <v>46143</v>
      </c>
      <c r="N12" s="7">
        <v>46157</v>
      </c>
      <c r="O12" s="7" t="str">
        <f t="shared" si="5"/>
        <v>Mayo - 20265</v>
      </c>
      <c r="P12" s="8" t="s">
        <v>64</v>
      </c>
      <c r="Q12" s="4">
        <v>1300</v>
      </c>
      <c r="R12" s="4">
        <v>80</v>
      </c>
      <c r="S12" s="8">
        <f>+COUNTIFS('BD Asistencia'!$E:$E,"A",'BD Asistencia'!$C:$C,'Planilla Mensual'!$D12,'BD Asistencia'!$D:$D,"&lt;"&amp;'Planilla Mensual'!L12)</f>
        <v>1</v>
      </c>
      <c r="T12" s="8">
        <f>+COUNTIFS('BD Asistencia'!$E:$E,"DR",'BD Asistencia'!$C:$C,'Planilla Mensual'!$D12,'BD Asistencia'!$D:$D,"&lt;"&amp;L12)</f>
        <v>0</v>
      </c>
      <c r="U12" s="8">
        <f>+COUNTIFS('BD Asistencia'!$H:$H,"NO REMUNERADO",'BD Asistencia'!$C:$C,'Planilla Mensual'!$D12,'BD Asistencia'!$D:$D,"&lt;"&amp;L12)</f>
        <v>2</v>
      </c>
      <c r="V12" s="8">
        <f>+COUNTIFS('BD Asistencia'!$E:$E,"A",'BD Asistencia'!$C:$C,'Planilla Mensual'!$D12,'BD Asistencia'!$D:$D,"&gt;="&amp;'Planilla Mensual'!M12,'BD Asistencia'!$D:$D,"&lt;="&amp;'Planilla Mensual'!N12)-S12</f>
        <v>11</v>
      </c>
      <c r="W12" s="8">
        <f>+COUNTIFS('BD Asistencia'!$E:$E,"DR",'BD Asistencia'!$C:$C,'Planilla Mensual'!$D12,'BD Asistencia'!$D:$D,"&gt;="&amp;'Planilla Mensual'!M12,'BD Asistencia'!$D:$D,"&lt;="&amp;'Planilla Mensual'!N12)-T12</f>
        <v>1</v>
      </c>
      <c r="X12" s="8">
        <f>+COUNTIFS('BD Asistencia'!$E:$E,"h",'BD Asistencia'!$C:$C,'Planilla Mensual'!$D12,'BD Asistencia'!$D:$D,"&gt;="&amp;'Planilla Mensual'!M12,'BD Asistencia'!$D:$D,"&lt;="&amp;'Planilla Mensual'!N12)</f>
        <v>0</v>
      </c>
      <c r="Y12" s="8">
        <f>+COUNTIFS('BD Asistencia'!$E:$E,"h/A",'BD Asistencia'!$C:$C,'Planilla Mensual'!$D12,'BD Asistencia'!$D:$D,"&gt;="&amp;'Planilla Mensual'!M12,'BD Asistencia'!$D:$D,"&lt;="&amp;'Planilla Mensual'!N12)</f>
        <v>0</v>
      </c>
      <c r="Z12" s="8">
        <f>+COUNTIFS('BD Asistencia'!$H:$H,"NO REMUNERADO",'BD Asistencia'!$C:$C,'Planilla Mensual'!$D12,'BD Asistencia'!$D:$D,"&gt;="&amp;'Planilla Mensual'!M12,'BD Asistencia'!$D:$D,"&lt;="&amp;'Planilla Mensual'!N12)-U12</f>
        <v>0</v>
      </c>
      <c r="AA12" s="8">
        <f>+COUNTIFS('BD Asistencia'!$E:$E,"F",'BD Asistencia'!$C:$C,'Planilla Mensual'!$D12,'BD Asistencia'!$D:$D,"&gt;="&amp;'Planilla Mensual'!M12,'BD Asistencia'!$D:$D,"&lt;="&amp;'Planilla Mensual'!N12)</f>
        <v>0</v>
      </c>
      <c r="AB12" s="8">
        <f t="shared" si="6"/>
        <v>15</v>
      </c>
      <c r="AC12" s="8">
        <v>3</v>
      </c>
      <c r="AD12" s="4">
        <f t="shared" si="16"/>
        <v>520</v>
      </c>
      <c r="AE12" s="4">
        <f t="shared" si="0"/>
        <v>0</v>
      </c>
      <c r="AF12" s="4">
        <f t="shared" si="1"/>
        <v>0</v>
      </c>
      <c r="AG12" s="4">
        <v>200</v>
      </c>
      <c r="AH12" s="4">
        <f t="shared" si="7"/>
        <v>30</v>
      </c>
      <c r="AI12" s="4">
        <f t="shared" si="8"/>
        <v>750</v>
      </c>
      <c r="AJ12" s="4">
        <f t="shared" si="14"/>
        <v>88</v>
      </c>
      <c r="AK12" s="4">
        <f>V12*30</f>
        <v>330</v>
      </c>
      <c r="AL12" s="4">
        <f t="shared" si="2"/>
        <v>75</v>
      </c>
      <c r="AM12" s="4">
        <f t="shared" si="3"/>
        <v>10.275</v>
      </c>
      <c r="AN12" s="4">
        <f t="shared" si="4"/>
        <v>0</v>
      </c>
      <c r="AO12" s="4">
        <v>0</v>
      </c>
      <c r="AP12" s="4"/>
      <c r="AQ12" s="4">
        <v>300</v>
      </c>
      <c r="AR12" s="4">
        <f>+SUM(AL12:AQ12)</f>
        <v>385.27499999999998</v>
      </c>
      <c r="AS12" s="4">
        <f>AI12-SUM(AL12:AQ12)</f>
        <v>364.72500000000002</v>
      </c>
      <c r="AT12" s="4">
        <f>AJ12+AK12</f>
        <v>418</v>
      </c>
      <c r="AU12" s="4"/>
      <c r="AV12" s="4">
        <f t="shared" si="9"/>
        <v>782.72500000000002</v>
      </c>
      <c r="AX12" s="4">
        <f>+IF(RIGHT(F12,2)="N3",300,0)</f>
        <v>0</v>
      </c>
      <c r="AY12" s="4">
        <f>+AX12/30*SUM(V12:Y12)</f>
        <v>0</v>
      </c>
      <c r="AZ12" s="4">
        <f>+R12*(S12+T12)</f>
        <v>80</v>
      </c>
      <c r="BA12" s="4">
        <v>0</v>
      </c>
      <c r="BB12" s="4"/>
      <c r="BC12" s="4">
        <f t="shared" si="10"/>
        <v>862.72500000000002</v>
      </c>
      <c r="BD12" s="4">
        <f>AI12+AU12+AT12+AY12+AZ12+BA12+BB12</f>
        <v>1248</v>
      </c>
      <c r="BE12" s="3">
        <f>(BC12+AQ12)/(V12+S12)</f>
        <v>96.893749999999997</v>
      </c>
      <c r="BF12" s="3">
        <f t="shared" si="11"/>
        <v>2519.2374999999997</v>
      </c>
      <c r="BG12" s="30">
        <f>(AV12+AY12+SUM(AL12:AQ12))/V12</f>
        <v>106.18181818181819</v>
      </c>
      <c r="BH12" s="30">
        <f>+(AZ12+BA12)/(S12+T12)</f>
        <v>80</v>
      </c>
      <c r="BI12">
        <f>+BD12/V12</f>
        <v>113.45454545454545</v>
      </c>
    </row>
    <row r="13" spans="1:63" x14ac:dyDescent="0.3">
      <c r="A13">
        <v>10</v>
      </c>
      <c r="B13" s="6" t="s">
        <v>177</v>
      </c>
      <c r="C13" s="6">
        <v>41758826</v>
      </c>
      <c r="D13" s="6" t="s">
        <v>94</v>
      </c>
      <c r="E13" s="7">
        <v>30279</v>
      </c>
      <c r="F13" s="6" t="s">
        <v>67</v>
      </c>
      <c r="G13" s="6" t="s">
        <v>53</v>
      </c>
      <c r="H13" s="6" t="s">
        <v>60</v>
      </c>
      <c r="I13" s="6" t="s">
        <v>118</v>
      </c>
      <c r="J13" s="6" t="s">
        <v>130</v>
      </c>
      <c r="K13" s="6"/>
      <c r="L13" s="7">
        <v>46146</v>
      </c>
      <c r="M13" s="7">
        <v>46143</v>
      </c>
      <c r="N13" s="7">
        <v>46157</v>
      </c>
      <c r="O13" s="7" t="str">
        <f t="shared" si="5"/>
        <v>Mayo - 20265</v>
      </c>
      <c r="P13" s="8" t="s">
        <v>41</v>
      </c>
      <c r="Q13" s="4">
        <v>1300</v>
      </c>
      <c r="R13" s="4">
        <v>80</v>
      </c>
      <c r="S13" s="8">
        <f>+COUNTIFS('BD Asistencia'!$E:$E,"A",'BD Asistencia'!$C:$C,'Planilla Mensual'!$D13,'BD Asistencia'!$D:$D,"&lt;"&amp;'Planilla Mensual'!L13)</f>
        <v>1</v>
      </c>
      <c r="T13" s="8">
        <f>+COUNTIFS('BD Asistencia'!$E:$E,"DR",'BD Asistencia'!$C:$C,'Planilla Mensual'!$D13,'BD Asistencia'!$D:$D,"&lt;"&amp;L13)</f>
        <v>0</v>
      </c>
      <c r="U13" s="8">
        <f>+COUNTIFS('BD Asistencia'!$H:$H,"NO REMUNERADO",'BD Asistencia'!$C:$C,'Planilla Mensual'!$D13,'BD Asistencia'!$D:$D,"&lt;"&amp;L13)</f>
        <v>2</v>
      </c>
      <c r="V13" s="8">
        <f>+COUNTIFS('BD Asistencia'!$E:$E,"A",'BD Asistencia'!$C:$C,'Planilla Mensual'!$D13,'BD Asistencia'!$D:$D,"&gt;="&amp;'Planilla Mensual'!M13,'BD Asistencia'!$D:$D,"&lt;="&amp;'Planilla Mensual'!N13)-S13</f>
        <v>10</v>
      </c>
      <c r="W13" s="8">
        <f>+COUNTIFS('BD Asistencia'!$E:$E,"DR",'BD Asistencia'!$C:$C,'Planilla Mensual'!$D13,'BD Asistencia'!$D:$D,"&gt;="&amp;'Planilla Mensual'!M13,'BD Asistencia'!$D:$D,"&lt;="&amp;'Planilla Mensual'!N13)-T13</f>
        <v>1</v>
      </c>
      <c r="X13" s="8">
        <f>+COUNTIFS('BD Asistencia'!$E:$E,"h",'BD Asistencia'!$C:$C,'Planilla Mensual'!$D13,'BD Asistencia'!$D:$D,"&gt;="&amp;'Planilla Mensual'!M13,'BD Asistencia'!$D:$D,"&lt;="&amp;'Planilla Mensual'!N13)</f>
        <v>0</v>
      </c>
      <c r="Y13" s="8">
        <f>+COUNTIFS('BD Asistencia'!$E:$E,"h/A",'BD Asistencia'!$C:$C,'Planilla Mensual'!$D13,'BD Asistencia'!$D:$D,"&gt;="&amp;'Planilla Mensual'!M13,'BD Asistencia'!$D:$D,"&lt;="&amp;'Planilla Mensual'!N13)</f>
        <v>0</v>
      </c>
      <c r="Z13" s="8">
        <f>+COUNTIFS('BD Asistencia'!$H:$H,"NO REMUNERADO",'BD Asistencia'!$C:$C,'Planilla Mensual'!$D13,'BD Asistencia'!$D:$D,"&gt;="&amp;'Planilla Mensual'!M13,'BD Asistencia'!$D:$D,"&lt;="&amp;'Planilla Mensual'!N13)-U13</f>
        <v>0</v>
      </c>
      <c r="AA13" s="8">
        <f>+COUNTIFS('BD Asistencia'!$E:$E,"F",'BD Asistencia'!$C:$C,'Planilla Mensual'!$D13,'BD Asistencia'!$D:$D,"&gt;="&amp;'Planilla Mensual'!M13,'BD Asistencia'!$D:$D,"&lt;="&amp;'Planilla Mensual'!N13)</f>
        <v>1</v>
      </c>
      <c r="AB13" s="8">
        <f t="shared" si="6"/>
        <v>15</v>
      </c>
      <c r="AC13" s="8">
        <v>12</v>
      </c>
      <c r="AD13" s="4">
        <f t="shared" si="16"/>
        <v>476.66666666666669</v>
      </c>
      <c r="AE13" s="4">
        <f t="shared" si="0"/>
        <v>56.5</v>
      </c>
      <c r="AF13" s="4">
        <f t="shared" si="1"/>
        <v>0</v>
      </c>
      <c r="AG13" s="4">
        <v>100</v>
      </c>
      <c r="AH13" s="4">
        <f t="shared" si="7"/>
        <v>120</v>
      </c>
      <c r="AI13" s="4">
        <f t="shared" si="8"/>
        <v>753.16666666666674</v>
      </c>
      <c r="AJ13" s="4">
        <f t="shared" si="14"/>
        <v>80</v>
      </c>
      <c r="AK13" s="4">
        <f t="shared" si="15"/>
        <v>300</v>
      </c>
      <c r="AL13" s="4">
        <f t="shared" si="2"/>
        <v>75.316666666666677</v>
      </c>
      <c r="AM13" s="4">
        <f t="shared" si="3"/>
        <v>10.318383333333335</v>
      </c>
      <c r="AN13" s="4">
        <f t="shared" si="4"/>
        <v>0</v>
      </c>
      <c r="AO13" s="4">
        <v>0</v>
      </c>
      <c r="AP13" s="4"/>
      <c r="AQ13" s="4">
        <v>280</v>
      </c>
      <c r="AR13" s="4">
        <f>+SUM(AL13:AQ13)</f>
        <v>365.63504999999998</v>
      </c>
      <c r="AS13" s="4">
        <f>AI13-SUM(AL13:AQ13)</f>
        <v>387.53161666666676</v>
      </c>
      <c r="AT13" s="4">
        <f>AJ13+AK13</f>
        <v>380</v>
      </c>
      <c r="AU13" s="4"/>
      <c r="AV13" s="4">
        <f>AS13+AT13</f>
        <v>767.53161666666676</v>
      </c>
      <c r="AX13" s="4">
        <f>+IF(RIGHT(F13,2)="N3",300,0)</f>
        <v>0</v>
      </c>
      <c r="AY13" s="4">
        <f>+AX13/30*SUM(V13:Y13)</f>
        <v>0</v>
      </c>
      <c r="AZ13" s="4">
        <f>+R13*(S13+T13)</f>
        <v>80</v>
      </c>
      <c r="BA13" s="4">
        <v>0</v>
      </c>
      <c r="BB13" s="4"/>
      <c r="BC13" s="4">
        <f t="shared" si="10"/>
        <v>847.53161666666676</v>
      </c>
      <c r="BD13" s="4">
        <f>AI13+AU13+AT13+AY13+AZ13+BA13+BB13</f>
        <v>1213.1666666666667</v>
      </c>
      <c r="BE13" s="3">
        <f>(BC13+AQ13)/(V13+S13)</f>
        <v>102.50287424242424</v>
      </c>
      <c r="BF13" s="3">
        <f t="shared" si="11"/>
        <v>2665.0747303030303</v>
      </c>
      <c r="BG13" s="30">
        <f>(AV13+AY13+SUM(AL13:AQ13))/V13</f>
        <v>113.31666666666668</v>
      </c>
      <c r="BH13" s="30">
        <f>+(AZ13+BA13)/(S13+T13)</f>
        <v>80</v>
      </c>
      <c r="BI13">
        <f>+BD13/V13</f>
        <v>121.31666666666668</v>
      </c>
    </row>
    <row r="14" spans="1:63" x14ac:dyDescent="0.3">
      <c r="A14">
        <v>10</v>
      </c>
      <c r="B14" s="6" t="s">
        <v>177</v>
      </c>
      <c r="C14" s="6">
        <v>71983929</v>
      </c>
      <c r="D14" s="6" t="s">
        <v>93</v>
      </c>
      <c r="E14" s="7">
        <v>33973</v>
      </c>
      <c r="F14" s="6" t="s">
        <v>65</v>
      </c>
      <c r="G14" s="6" t="s">
        <v>31</v>
      </c>
      <c r="H14" s="6"/>
      <c r="I14" s="6" t="s">
        <v>118</v>
      </c>
      <c r="J14" s="6" t="s">
        <v>131</v>
      </c>
      <c r="K14" s="6"/>
      <c r="L14" s="7">
        <v>46146</v>
      </c>
      <c r="M14" s="7">
        <v>46143</v>
      </c>
      <c r="N14" s="7">
        <v>46157</v>
      </c>
      <c r="O14" s="7" t="str">
        <f t="shared" si="5"/>
        <v>Mayo - 20265</v>
      </c>
      <c r="P14" s="8" t="s">
        <v>41</v>
      </c>
      <c r="Q14" s="4">
        <v>1300</v>
      </c>
      <c r="R14" s="4"/>
      <c r="S14" s="8">
        <f>+COUNTIFS('BD Asistencia'!$E:$E,"A",'BD Asistencia'!$C:$C,'Planilla Mensual'!$D14,'BD Asistencia'!$D:$D,"&lt;"&amp;'Planilla Mensual'!L14)</f>
        <v>0</v>
      </c>
      <c r="T14" s="8">
        <f>+COUNTIFS('BD Asistencia'!$E:$E,"DR",'BD Asistencia'!$C:$C,'Planilla Mensual'!$D14,'BD Asistencia'!$D:$D,"&lt;"&amp;L14)</f>
        <v>0</v>
      </c>
      <c r="U14" s="8">
        <f>+COUNTIFS('BD Asistencia'!$H:$H,"NO REMUNERADO",'BD Asistencia'!$C:$C,'Planilla Mensual'!$D14,'BD Asistencia'!$D:$D,"&lt;"&amp;L14)</f>
        <v>3</v>
      </c>
      <c r="V14" s="8">
        <f>+COUNTIFS('BD Asistencia'!$E:$E,"A",'BD Asistencia'!$C:$C,'Planilla Mensual'!$D14,'BD Asistencia'!$D:$D,"&gt;="&amp;'Planilla Mensual'!M14,'BD Asistencia'!$D:$D,"&lt;="&amp;'Planilla Mensual'!N14)-S14</f>
        <v>11</v>
      </c>
      <c r="W14" s="8">
        <f>+COUNTIFS('BD Asistencia'!$E:$E,"DR",'BD Asistencia'!$C:$C,'Planilla Mensual'!$D14,'BD Asistencia'!$D:$D,"&gt;="&amp;'Planilla Mensual'!M14,'BD Asistencia'!$D:$D,"&lt;="&amp;'Planilla Mensual'!N14)-T14</f>
        <v>1</v>
      </c>
      <c r="X14" s="8">
        <f>+COUNTIFS('BD Asistencia'!$E:$E,"h",'BD Asistencia'!$C:$C,'Planilla Mensual'!$D14,'BD Asistencia'!$D:$D,"&gt;="&amp;'Planilla Mensual'!M14,'BD Asistencia'!$D:$D,"&lt;="&amp;'Planilla Mensual'!N14)</f>
        <v>0</v>
      </c>
      <c r="Y14" s="8">
        <f>+COUNTIFS('BD Asistencia'!$E:$E,"h/A",'BD Asistencia'!$C:$C,'Planilla Mensual'!$D14,'BD Asistencia'!$D:$D,"&gt;="&amp;'Planilla Mensual'!M14,'BD Asistencia'!$D:$D,"&lt;="&amp;'Planilla Mensual'!N14)</f>
        <v>0</v>
      </c>
      <c r="Z14" s="8">
        <f>+COUNTIFS('BD Asistencia'!$H:$H,"NO REMUNERADO",'BD Asistencia'!$C:$C,'Planilla Mensual'!$D14,'BD Asistencia'!$D:$D,"&gt;="&amp;'Planilla Mensual'!M14,'BD Asistencia'!$D:$D,"&lt;="&amp;'Planilla Mensual'!N14)-U14</f>
        <v>0</v>
      </c>
      <c r="AA14" s="8">
        <f>+COUNTIFS('BD Asistencia'!$E:$E,"F",'BD Asistencia'!$C:$C,'Planilla Mensual'!$D14,'BD Asistencia'!$D:$D,"&gt;="&amp;'Planilla Mensual'!M14,'BD Asistencia'!$D:$D,"&lt;="&amp;'Planilla Mensual'!N14)</f>
        <v>0</v>
      </c>
      <c r="AB14" s="8">
        <f t="shared" si="6"/>
        <v>15</v>
      </c>
      <c r="AC14" s="8">
        <v>4.05</v>
      </c>
      <c r="AD14" s="4">
        <f t="shared" si="16"/>
        <v>520</v>
      </c>
      <c r="AE14" s="4">
        <f t="shared" si="0"/>
        <v>56.5</v>
      </c>
      <c r="AF14" s="4">
        <f t="shared" si="1"/>
        <v>0</v>
      </c>
      <c r="AG14" s="4">
        <v>200</v>
      </c>
      <c r="AH14" s="4">
        <f t="shared" si="7"/>
        <v>40.5</v>
      </c>
      <c r="AI14" s="4">
        <f t="shared" si="8"/>
        <v>817</v>
      </c>
      <c r="AJ14" s="4">
        <f t="shared" si="14"/>
        <v>176</v>
      </c>
      <c r="AK14" s="4">
        <f t="shared" si="15"/>
        <v>330</v>
      </c>
      <c r="AL14" s="4">
        <f t="shared" si="2"/>
        <v>0</v>
      </c>
      <c r="AM14" s="4">
        <f t="shared" si="3"/>
        <v>0</v>
      </c>
      <c r="AN14" s="4">
        <f t="shared" si="4"/>
        <v>106.21000000000001</v>
      </c>
      <c r="AO14" s="4">
        <v>0</v>
      </c>
      <c r="AP14" s="4"/>
      <c r="AQ14" s="4">
        <f>180+120</f>
        <v>300</v>
      </c>
      <c r="AR14" s="4">
        <f>+SUM(AL14:AQ14)</f>
        <v>406.21000000000004</v>
      </c>
      <c r="AS14" s="4">
        <f>AI14-SUM(AL14:AQ14)</f>
        <v>410.78999999999996</v>
      </c>
      <c r="AT14" s="4">
        <f>AJ14+AK14</f>
        <v>506</v>
      </c>
      <c r="AU14" s="4"/>
      <c r="AV14" s="4">
        <f t="shared" si="9"/>
        <v>916.79</v>
      </c>
      <c r="AX14" s="4">
        <f>+IF(RIGHT(F14,2)="N3",300,0)</f>
        <v>300</v>
      </c>
      <c r="AY14" s="4">
        <f>+AX14/30*SUM(V14:Y14)</f>
        <v>120</v>
      </c>
      <c r="AZ14" s="4">
        <f>+R14*(S14+T14)</f>
        <v>0</v>
      </c>
      <c r="BA14" s="4">
        <v>0</v>
      </c>
      <c r="BB14" s="4"/>
      <c r="BC14" s="4">
        <f t="shared" si="10"/>
        <v>1036.79</v>
      </c>
      <c r="BD14" s="4">
        <f>AI14+AU14+AT14+AY14+AZ14+BA14+BB14</f>
        <v>1443</v>
      </c>
      <c r="BE14" s="3">
        <f>(BC14+AQ14)/(V14+S14)</f>
        <v>121.52636363636363</v>
      </c>
      <c r="BF14" s="3">
        <f t="shared" si="11"/>
        <v>3159.6854545454544</v>
      </c>
      <c r="BG14" s="30">
        <f>(AV14+AY14+SUM(AL14:AQ14))/V14</f>
        <v>131.18181818181819</v>
      </c>
      <c r="BH14" s="30" t="e">
        <f>+(AZ14+BA14)/(S14+T14)</f>
        <v>#DIV/0!</v>
      </c>
      <c r="BI14">
        <f>+BD14/V14</f>
        <v>131.18181818181819</v>
      </c>
    </row>
    <row r="15" spans="1:63" x14ac:dyDescent="0.3">
      <c r="A15">
        <v>10</v>
      </c>
      <c r="B15" s="6" t="s">
        <v>177</v>
      </c>
      <c r="C15" s="6">
        <v>45952951</v>
      </c>
      <c r="D15" s="6" t="s">
        <v>154</v>
      </c>
      <c r="E15" s="7">
        <v>32777</v>
      </c>
      <c r="F15" s="6" t="s">
        <v>65</v>
      </c>
      <c r="G15" s="6" t="s">
        <v>53</v>
      </c>
      <c r="H15" s="6" t="s">
        <v>61</v>
      </c>
      <c r="I15" s="6" t="s">
        <v>118</v>
      </c>
      <c r="J15" s="6" t="s">
        <v>132</v>
      </c>
      <c r="K15" s="6"/>
      <c r="L15" s="7">
        <v>46146</v>
      </c>
      <c r="M15" s="7">
        <v>46143</v>
      </c>
      <c r="N15" s="7">
        <v>46157</v>
      </c>
      <c r="O15" s="7" t="str">
        <f t="shared" si="5"/>
        <v>Mayo - 20265</v>
      </c>
      <c r="P15" s="8" t="s">
        <v>41</v>
      </c>
      <c r="Q15" s="4">
        <v>1300</v>
      </c>
      <c r="R15" s="4"/>
      <c r="S15" s="8">
        <f>+COUNTIFS('BD Asistencia'!$E:$E,"A",'BD Asistencia'!$C:$C,'Planilla Mensual'!$D15,'BD Asistencia'!$D:$D,"&lt;"&amp;'Planilla Mensual'!L15)</f>
        <v>0</v>
      </c>
      <c r="T15" s="8">
        <f>+COUNTIFS('BD Asistencia'!$E:$E,"DR",'BD Asistencia'!$C:$C,'Planilla Mensual'!$D15,'BD Asistencia'!$D:$D,"&lt;"&amp;L15)</f>
        <v>0</v>
      </c>
      <c r="U15" s="8">
        <f>+COUNTIFS('BD Asistencia'!$H:$H,"NO REMUNERADO",'BD Asistencia'!$C:$C,'Planilla Mensual'!$D15,'BD Asistencia'!$D:$D,"&lt;"&amp;L15)</f>
        <v>3</v>
      </c>
      <c r="V15" s="8">
        <f>+COUNTIFS('BD Asistencia'!$E:$E,"A",'BD Asistencia'!$C:$C,'Planilla Mensual'!$D15,'BD Asistencia'!$D:$D,"&gt;="&amp;'Planilla Mensual'!M15,'BD Asistencia'!$D:$D,"&lt;="&amp;'Planilla Mensual'!N15)-S15</f>
        <v>11</v>
      </c>
      <c r="W15" s="8">
        <f>+COUNTIFS('BD Asistencia'!$E:$E,"DR",'BD Asistencia'!$C:$C,'Planilla Mensual'!$D15,'BD Asistencia'!$D:$D,"&gt;="&amp;'Planilla Mensual'!M15,'BD Asistencia'!$D:$D,"&lt;="&amp;'Planilla Mensual'!N15)-T15</f>
        <v>1</v>
      </c>
      <c r="X15" s="8">
        <f>+COUNTIFS('BD Asistencia'!$E:$E,"h",'BD Asistencia'!$C:$C,'Planilla Mensual'!$D15,'BD Asistencia'!$D:$D,"&gt;="&amp;'Planilla Mensual'!M15,'BD Asistencia'!$D:$D,"&lt;="&amp;'Planilla Mensual'!N15)</f>
        <v>0</v>
      </c>
      <c r="Y15" s="8">
        <f>+COUNTIFS('BD Asistencia'!$E:$E,"h/A",'BD Asistencia'!$C:$C,'Planilla Mensual'!$D15,'BD Asistencia'!$D:$D,"&gt;="&amp;'Planilla Mensual'!M15,'BD Asistencia'!$D:$D,"&lt;="&amp;'Planilla Mensual'!N15)</f>
        <v>0</v>
      </c>
      <c r="Z15" s="8">
        <f>+COUNTIFS('BD Asistencia'!$H:$H,"NO REMUNERADO",'BD Asistencia'!$C:$C,'Planilla Mensual'!$D15,'BD Asistencia'!$D:$D,"&gt;="&amp;'Planilla Mensual'!M15,'BD Asistencia'!$D:$D,"&lt;="&amp;'Planilla Mensual'!N15)-U15</f>
        <v>0</v>
      </c>
      <c r="AA15" s="8">
        <f>+COUNTIFS('BD Asistencia'!$E:$E,"F",'BD Asistencia'!$C:$C,'Planilla Mensual'!$D15,'BD Asistencia'!$D:$D,"&gt;="&amp;'Planilla Mensual'!M15,'BD Asistencia'!$D:$D,"&lt;="&amp;'Planilla Mensual'!N15)</f>
        <v>0</v>
      </c>
      <c r="AB15" s="8">
        <f t="shared" si="6"/>
        <v>15</v>
      </c>
      <c r="AC15" s="8">
        <v>4.8</v>
      </c>
      <c r="AD15" s="4">
        <f t="shared" si="16"/>
        <v>520</v>
      </c>
      <c r="AE15" s="4">
        <f t="shared" si="0"/>
        <v>56.5</v>
      </c>
      <c r="AF15" s="4">
        <f t="shared" si="1"/>
        <v>0</v>
      </c>
      <c r="AG15" s="4">
        <v>200</v>
      </c>
      <c r="AH15" s="4">
        <f t="shared" si="7"/>
        <v>48</v>
      </c>
      <c r="AI15" s="4">
        <f t="shared" si="8"/>
        <v>824.5</v>
      </c>
      <c r="AJ15" s="4">
        <f t="shared" si="14"/>
        <v>176</v>
      </c>
      <c r="AK15" s="4">
        <f t="shared" si="15"/>
        <v>330</v>
      </c>
      <c r="AL15" s="4">
        <f t="shared" si="2"/>
        <v>82.45</v>
      </c>
      <c r="AM15" s="4">
        <f t="shared" si="3"/>
        <v>11.29565</v>
      </c>
      <c r="AN15" s="4">
        <f t="shared" si="4"/>
        <v>0</v>
      </c>
      <c r="AO15" s="4">
        <v>0</v>
      </c>
      <c r="AP15" s="4"/>
      <c r="AQ15" s="4">
        <f>180+20</f>
        <v>200</v>
      </c>
      <c r="AR15" s="4">
        <f>+SUM(AL15:AQ15)</f>
        <v>293.74565000000001</v>
      </c>
      <c r="AS15" s="4">
        <f>AI15-SUM(AL15:AQ15)</f>
        <v>530.75434999999993</v>
      </c>
      <c r="AT15" s="4">
        <f>AJ15+AK15</f>
        <v>506</v>
      </c>
      <c r="AU15" s="4"/>
      <c r="AV15" s="4">
        <f t="shared" si="9"/>
        <v>1036.7543499999999</v>
      </c>
      <c r="AX15" s="4">
        <v>300</v>
      </c>
      <c r="AY15" s="4">
        <f>+AX15/30*SUM(V15:Y15)</f>
        <v>120</v>
      </c>
      <c r="AZ15" s="4">
        <f>+R15*(S15+T15)</f>
        <v>0</v>
      </c>
      <c r="BA15" s="4">
        <v>0</v>
      </c>
      <c r="BB15" s="4"/>
      <c r="BC15" s="4">
        <f t="shared" si="10"/>
        <v>1156.7543499999999</v>
      </c>
      <c r="BD15" s="4">
        <f>AI15+AU15+AT15+AY15+AZ15+BA15+BB15</f>
        <v>1450.5</v>
      </c>
      <c r="BE15" s="3">
        <f>(BC15+AQ15)/(V15+S15)</f>
        <v>123.34130454545453</v>
      </c>
      <c r="BF15" s="3">
        <f t="shared" si="11"/>
        <v>3206.8739181818178</v>
      </c>
      <c r="BG15" s="30">
        <f>(AV15+AY15+SUM(AL15:AQ15))/V15</f>
        <v>131.86363636363637</v>
      </c>
      <c r="BH15" s="30" t="e">
        <f>+(AZ15+BA15)/(S15+T15)</f>
        <v>#DIV/0!</v>
      </c>
      <c r="BI15">
        <f>+BD15/V15</f>
        <v>131.86363636363637</v>
      </c>
    </row>
    <row r="16" spans="1:63" x14ac:dyDescent="0.3">
      <c r="A16">
        <v>10</v>
      </c>
      <c r="B16" s="6" t="s">
        <v>177</v>
      </c>
      <c r="C16" s="6">
        <v>48187021</v>
      </c>
      <c r="D16" s="6" t="s">
        <v>97</v>
      </c>
      <c r="E16" s="7">
        <v>34283</v>
      </c>
      <c r="F16" s="6" t="s">
        <v>65</v>
      </c>
      <c r="G16" s="6" t="s">
        <v>52</v>
      </c>
      <c r="H16" s="6" t="s">
        <v>62</v>
      </c>
      <c r="I16" s="6" t="s">
        <v>118</v>
      </c>
      <c r="J16" s="23" t="s">
        <v>182</v>
      </c>
      <c r="K16" s="6"/>
      <c r="L16" s="24">
        <v>46146</v>
      </c>
      <c r="M16" s="7">
        <v>46143</v>
      </c>
      <c r="N16" s="7">
        <v>46157</v>
      </c>
      <c r="O16" s="7" t="str">
        <f t="shared" si="5"/>
        <v>Mayo - 20265</v>
      </c>
      <c r="P16" s="8" t="s">
        <v>41</v>
      </c>
      <c r="Q16" s="4">
        <v>1300</v>
      </c>
      <c r="R16" s="4"/>
      <c r="S16" s="8">
        <f>+COUNTIFS('BD Asistencia'!$E:$E,"A",'BD Asistencia'!$C:$C,'Planilla Mensual'!$D16,'BD Asistencia'!$D:$D,"&lt;"&amp;'Planilla Mensual'!L16)</f>
        <v>0</v>
      </c>
      <c r="T16" s="8">
        <f>+COUNTIFS('BD Asistencia'!$E:$E,"DR",'BD Asistencia'!$C:$C,'Planilla Mensual'!$D16,'BD Asistencia'!$D:$D,"&lt;"&amp;L16)</f>
        <v>0</v>
      </c>
      <c r="U16" s="8">
        <f>+COUNTIFS('BD Asistencia'!$H:$H,"NO REMUNERADO",'BD Asistencia'!$C:$C,'Planilla Mensual'!$D16,'BD Asistencia'!$D:$D,"&lt;"&amp;L16)</f>
        <v>3</v>
      </c>
      <c r="V16" s="8">
        <f>+COUNTIFS('BD Asistencia'!$E:$E,"A",'BD Asistencia'!$C:$C,'Planilla Mensual'!$D16,'BD Asistencia'!$D:$D,"&gt;="&amp;'Planilla Mensual'!M16,'BD Asistencia'!$D:$D,"&lt;="&amp;'Planilla Mensual'!N16)-S16</f>
        <v>10</v>
      </c>
      <c r="W16" s="8">
        <f>+COUNTIFS('BD Asistencia'!$E:$E,"DR",'BD Asistencia'!$C:$C,'Planilla Mensual'!$D16,'BD Asistencia'!$D:$D,"&gt;="&amp;'Planilla Mensual'!M16,'BD Asistencia'!$D:$D,"&lt;="&amp;'Planilla Mensual'!N16)-T16</f>
        <v>1</v>
      </c>
      <c r="X16" s="8">
        <f>+COUNTIFS('BD Asistencia'!$E:$E,"h",'BD Asistencia'!$C:$C,'Planilla Mensual'!$D16,'BD Asistencia'!$D:$D,"&gt;="&amp;'Planilla Mensual'!M16,'BD Asistencia'!$D:$D,"&lt;="&amp;'Planilla Mensual'!N16)</f>
        <v>0</v>
      </c>
      <c r="Y16" s="8">
        <f>+COUNTIFS('BD Asistencia'!$E:$E,"h/A",'BD Asistencia'!$C:$C,'Planilla Mensual'!$D16,'BD Asistencia'!$D:$D,"&gt;="&amp;'Planilla Mensual'!M16,'BD Asistencia'!$D:$D,"&lt;="&amp;'Planilla Mensual'!N16)</f>
        <v>0</v>
      </c>
      <c r="Z16" s="8">
        <f>+COUNTIFS('BD Asistencia'!$H:$H,"NO REMUNERADO",'BD Asistencia'!$C:$C,'Planilla Mensual'!$D16,'BD Asistencia'!$D:$D,"&gt;="&amp;'Planilla Mensual'!M16,'BD Asistencia'!$D:$D,"&lt;="&amp;'Planilla Mensual'!N16)-U16</f>
        <v>1</v>
      </c>
      <c r="AA16" s="8">
        <f>+COUNTIFS('BD Asistencia'!$E:$E,"F",'BD Asistencia'!$C:$C,'Planilla Mensual'!$D16,'BD Asistencia'!$D:$D,"&gt;="&amp;'Planilla Mensual'!M16,'BD Asistencia'!$D:$D,"&lt;="&amp;'Planilla Mensual'!N16)</f>
        <v>0</v>
      </c>
      <c r="AB16" s="8">
        <f t="shared" si="6"/>
        <v>15</v>
      </c>
      <c r="AC16" s="8">
        <v>8.5</v>
      </c>
      <c r="AD16" s="4">
        <f t="shared" si="16"/>
        <v>476.66666666666669</v>
      </c>
      <c r="AE16" s="4">
        <f t="shared" si="0"/>
        <v>56.5</v>
      </c>
      <c r="AF16" s="4">
        <f t="shared" si="1"/>
        <v>0</v>
      </c>
      <c r="AG16" s="4">
        <v>200</v>
      </c>
      <c r="AH16" s="4">
        <f t="shared" si="7"/>
        <v>85</v>
      </c>
      <c r="AI16" s="4">
        <f t="shared" si="8"/>
        <v>818.16666666666674</v>
      </c>
      <c r="AJ16" s="4">
        <f t="shared" si="14"/>
        <v>160</v>
      </c>
      <c r="AK16" s="4">
        <f t="shared" si="15"/>
        <v>300</v>
      </c>
      <c r="AL16" s="4">
        <f t="shared" si="2"/>
        <v>81.816666666666677</v>
      </c>
      <c r="AM16" s="4">
        <f t="shared" si="3"/>
        <v>11.208883333333334</v>
      </c>
      <c r="AN16" s="4">
        <f t="shared" si="4"/>
        <v>0</v>
      </c>
      <c r="AO16" s="4">
        <v>0</v>
      </c>
      <c r="AP16" s="4"/>
      <c r="AQ16" s="4">
        <f>180+20</f>
        <v>200</v>
      </c>
      <c r="AR16" s="4">
        <f>+SUM(AL16:AQ16)</f>
        <v>293.02555000000001</v>
      </c>
      <c r="AS16" s="4">
        <f>AI16-SUM(AL16:AQ16)</f>
        <v>525.14111666666668</v>
      </c>
      <c r="AT16" s="4">
        <f>AJ16+AK16</f>
        <v>460</v>
      </c>
      <c r="AU16" s="4"/>
      <c r="AV16" s="4">
        <f t="shared" si="9"/>
        <v>985.14111666666668</v>
      </c>
      <c r="AX16" s="4">
        <f>+IF(RIGHT(F16,2)="N3",300,0)</f>
        <v>300</v>
      </c>
      <c r="AY16" s="4">
        <f>+AX16/30*SUM(V16:Y16)</f>
        <v>110</v>
      </c>
      <c r="AZ16" s="4">
        <f>+R16*(S16+T16)</f>
        <v>0</v>
      </c>
      <c r="BA16" s="4">
        <v>0</v>
      </c>
      <c r="BB16" s="4"/>
      <c r="BC16" s="4">
        <f t="shared" si="10"/>
        <v>1095.1411166666667</v>
      </c>
      <c r="BD16" s="4">
        <f>AI16+AU16+AT16+AY16+AZ16+BA16+BB16</f>
        <v>1388.1666666666667</v>
      </c>
      <c r="BE16" s="3">
        <f>(BC16+AQ16)/(V16+S16)</f>
        <v>129.51411166666668</v>
      </c>
      <c r="BF16" s="3">
        <f t="shared" si="11"/>
        <v>3367.3669033333335</v>
      </c>
      <c r="BG16" s="30">
        <f>(AV16+AY16+SUM(AL16:AQ16))/V16</f>
        <v>138.81666666666666</v>
      </c>
      <c r="BH16" s="30" t="e">
        <f>+(AZ16+BA16)/(S16+T16)</f>
        <v>#DIV/0!</v>
      </c>
      <c r="BI16">
        <f>+BD16/V16</f>
        <v>138.81666666666666</v>
      </c>
    </row>
    <row r="17" spans="1:61" x14ac:dyDescent="0.3">
      <c r="A17">
        <v>10</v>
      </c>
      <c r="B17" s="6" t="s">
        <v>177</v>
      </c>
      <c r="C17" s="6">
        <v>77709008</v>
      </c>
      <c r="D17" s="6" t="s">
        <v>89</v>
      </c>
      <c r="E17" s="7">
        <v>35588</v>
      </c>
      <c r="F17" s="6" t="s">
        <v>65</v>
      </c>
      <c r="G17" s="6" t="s">
        <v>52</v>
      </c>
      <c r="H17" s="6" t="s">
        <v>63</v>
      </c>
      <c r="I17" s="6" t="s">
        <v>118</v>
      </c>
      <c r="J17" s="6" t="s">
        <v>133</v>
      </c>
      <c r="K17" s="6"/>
      <c r="L17" s="24">
        <v>46146</v>
      </c>
      <c r="M17" s="7">
        <v>46143</v>
      </c>
      <c r="N17" s="7">
        <v>46157</v>
      </c>
      <c r="O17" s="7" t="str">
        <f t="shared" si="5"/>
        <v>Mayo - 20265</v>
      </c>
      <c r="P17" s="8" t="s">
        <v>41</v>
      </c>
      <c r="Q17" s="4">
        <v>1300</v>
      </c>
      <c r="R17" s="4"/>
      <c r="S17" s="8">
        <f>+COUNTIFS('BD Asistencia'!$E:$E,"A",'BD Asistencia'!$C:$C,'Planilla Mensual'!$D17,'BD Asistencia'!$D:$D,"&lt;"&amp;'Planilla Mensual'!L17)</f>
        <v>0</v>
      </c>
      <c r="T17" s="8">
        <f>+COUNTIFS('BD Asistencia'!$E:$E,"DR",'BD Asistencia'!$C:$C,'Planilla Mensual'!$D17,'BD Asistencia'!$D:$D,"&lt;"&amp;L17)</f>
        <v>0</v>
      </c>
      <c r="U17" s="8">
        <f>+COUNTIFS('BD Asistencia'!$H:$H,"NO REMUNERADO",'BD Asistencia'!$C:$C,'Planilla Mensual'!$D17,'BD Asistencia'!$D:$D,"&lt;"&amp;L17)</f>
        <v>3</v>
      </c>
      <c r="V17" s="32">
        <v>7</v>
      </c>
      <c r="W17" s="8">
        <v>1</v>
      </c>
      <c r="X17" s="8">
        <f>+COUNTIFS('BD Asistencia'!$E:$E,"h",'BD Asistencia'!$C:$C,'Planilla Mensual'!$D17,'BD Asistencia'!$D:$D,"&gt;="&amp;'Planilla Mensual'!M17,'BD Asistencia'!$D:$D,"&lt;="&amp;'Planilla Mensual'!N17)</f>
        <v>0</v>
      </c>
      <c r="Y17" s="8">
        <f>+COUNTIFS('BD Asistencia'!$E:$E,"h/A",'BD Asistencia'!$C:$C,'Planilla Mensual'!$D17,'BD Asistencia'!$D:$D,"&gt;="&amp;'Planilla Mensual'!M17,'BD Asistencia'!$D:$D,"&lt;="&amp;'Planilla Mensual'!N17)</f>
        <v>0</v>
      </c>
      <c r="Z17" s="8">
        <v>4</v>
      </c>
      <c r="AA17" s="8">
        <f>+COUNTIFS('BD Asistencia'!$E:$E,"F",'BD Asistencia'!$C:$C,'Planilla Mensual'!$D17,'BD Asistencia'!$D:$D,"&gt;="&amp;'Planilla Mensual'!M17,'BD Asistencia'!$D:$D,"&lt;="&amp;'Planilla Mensual'!N17)</f>
        <v>0</v>
      </c>
      <c r="AB17" s="8">
        <f t="shared" si="6"/>
        <v>15</v>
      </c>
      <c r="AC17" s="8"/>
      <c r="AD17" s="4">
        <f t="shared" si="16"/>
        <v>346.66666666666669</v>
      </c>
      <c r="AE17" s="4">
        <f t="shared" si="0"/>
        <v>56.5</v>
      </c>
      <c r="AF17" s="4">
        <f t="shared" si="1"/>
        <v>0</v>
      </c>
      <c r="AG17" s="4">
        <v>0</v>
      </c>
      <c r="AH17" s="4">
        <f t="shared" si="7"/>
        <v>0</v>
      </c>
      <c r="AI17" s="4">
        <f t="shared" si="8"/>
        <v>403.16666666666669</v>
      </c>
      <c r="AJ17" s="4">
        <f t="shared" si="14"/>
        <v>112</v>
      </c>
      <c r="AK17" s="4">
        <f t="shared" si="15"/>
        <v>210</v>
      </c>
      <c r="AL17" s="4">
        <f t="shared" si="2"/>
        <v>40.31666666666667</v>
      </c>
      <c r="AM17" s="4">
        <f t="shared" si="3"/>
        <v>5.5233833333333333</v>
      </c>
      <c r="AN17" s="4">
        <f t="shared" si="4"/>
        <v>0</v>
      </c>
      <c r="AO17" s="4">
        <v>0</v>
      </c>
      <c r="AP17" s="4"/>
      <c r="AQ17" s="4">
        <f>30+64</f>
        <v>94</v>
      </c>
      <c r="AR17" s="4">
        <f>+SUM(AL17:AQ17)</f>
        <v>139.84005000000002</v>
      </c>
      <c r="AS17" s="4">
        <f>AI17-SUM(AL17:AQ17)</f>
        <v>263.32661666666667</v>
      </c>
      <c r="AT17" s="4">
        <f>AJ17+AK17</f>
        <v>322</v>
      </c>
      <c r="AU17" s="4"/>
      <c r="AV17" s="4">
        <f t="shared" si="9"/>
        <v>585.32661666666672</v>
      </c>
      <c r="AX17" s="4">
        <f>+IF(RIGHT(F17,2)="N3",300,0)</f>
        <v>300</v>
      </c>
      <c r="AY17" s="4">
        <f>+AX17/30*SUM(V17:Y17)</f>
        <v>80</v>
      </c>
      <c r="AZ17" s="4">
        <f>+R17*(S17+T17)</f>
        <v>0</v>
      </c>
      <c r="BA17" s="4">
        <v>0</v>
      </c>
      <c r="BB17" s="4"/>
      <c r="BC17" s="4">
        <f>+AY17+AV17+AZ17+BA17+BB17</f>
        <v>665.32661666666672</v>
      </c>
      <c r="BD17" s="4">
        <f>AI17+AU17+AT17+AY17+AZ17+BA17+BB17</f>
        <v>805.16666666666674</v>
      </c>
      <c r="BE17" s="3">
        <f>(BC17+AQ17)/(V17+S17)</f>
        <v>108.47523095238095</v>
      </c>
      <c r="BF17" s="3">
        <f t="shared" si="11"/>
        <v>2820.3560047619048</v>
      </c>
      <c r="BG17" s="30">
        <f>(AV17+AY17+SUM(AL17:AQ17))/V17</f>
        <v>115.02380952380953</v>
      </c>
      <c r="BH17" s="30" t="e">
        <f>+(AZ17+BA17)/(S17+T17)</f>
        <v>#DIV/0!</v>
      </c>
      <c r="BI17">
        <f>+BD17/V17</f>
        <v>115.02380952380953</v>
      </c>
    </row>
    <row r="18" spans="1:61" x14ac:dyDescent="0.3">
      <c r="A18">
        <v>10</v>
      </c>
      <c r="B18" s="6" t="s">
        <v>177</v>
      </c>
      <c r="C18" s="6">
        <v>77236592</v>
      </c>
      <c r="D18" s="6" t="s">
        <v>90</v>
      </c>
      <c r="E18" s="7">
        <v>34712</v>
      </c>
      <c r="F18" s="6" t="s">
        <v>67</v>
      </c>
      <c r="G18" s="6" t="s">
        <v>139</v>
      </c>
      <c r="H18" s="6" t="s">
        <v>140</v>
      </c>
      <c r="I18" s="6" t="s">
        <v>118</v>
      </c>
      <c r="J18" s="6" t="s">
        <v>134</v>
      </c>
      <c r="K18" s="6"/>
      <c r="L18" s="24">
        <v>46153</v>
      </c>
      <c r="M18" s="7">
        <v>46143</v>
      </c>
      <c r="N18" s="7">
        <v>46157</v>
      </c>
      <c r="O18" s="7" t="str">
        <f t="shared" si="5"/>
        <v>Mayo - 20265</v>
      </c>
      <c r="P18" s="8" t="s">
        <v>64</v>
      </c>
      <c r="Q18" s="4">
        <v>1300</v>
      </c>
      <c r="R18" s="4">
        <v>80</v>
      </c>
      <c r="S18" s="8">
        <f>+COUNTIFS('BD Asistencia'!$E:$E,"A",'BD Asistencia'!$C:$C,'Planilla Mensual'!$D18,'BD Asistencia'!$D:$D,"&lt;"&amp;'Planilla Mensual'!L18)</f>
        <v>1</v>
      </c>
      <c r="T18" s="8">
        <f>+COUNTIFS('BD Asistencia'!$E:$E,"DR",'BD Asistencia'!$C:$C,'Planilla Mensual'!$D18,'BD Asistencia'!$D:$D,"&lt;"&amp;L18)</f>
        <v>0</v>
      </c>
      <c r="U18" s="8">
        <f>+COUNTIFS('BD Asistencia'!$H:$H,"NO REMUNERADO",'BD Asistencia'!$C:$C,'Planilla Mensual'!$D18,'BD Asistencia'!$D:$D,"&lt;"&amp;L18)</f>
        <v>9</v>
      </c>
      <c r="V18" s="32">
        <v>5</v>
      </c>
      <c r="W18" s="8">
        <f>+COUNTIFS('BD Asistencia'!$E:$E,"DR",'BD Asistencia'!$C:$C,'Planilla Mensual'!$D18,'BD Asistencia'!$D:$D,"&gt;="&amp;'Planilla Mensual'!M18,'BD Asistencia'!$D:$D,"&lt;="&amp;'Planilla Mensual'!N18)-T18</f>
        <v>0</v>
      </c>
      <c r="X18" s="8">
        <f>+COUNTIFS('BD Asistencia'!$E:$E,"h",'BD Asistencia'!$C:$C,'Planilla Mensual'!$D18,'BD Asistencia'!$D:$D,"&gt;="&amp;'Planilla Mensual'!M18,'BD Asistencia'!$D:$D,"&lt;="&amp;'Planilla Mensual'!N18)</f>
        <v>0</v>
      </c>
      <c r="Y18" s="8">
        <f>+COUNTIFS('BD Asistencia'!$E:$E,"h/A",'BD Asistencia'!$C:$C,'Planilla Mensual'!$D18,'BD Asistencia'!$D:$D,"&gt;="&amp;'Planilla Mensual'!M18,'BD Asistencia'!$D:$D,"&lt;="&amp;'Planilla Mensual'!N18)</f>
        <v>0</v>
      </c>
      <c r="Z18" s="8">
        <f>+COUNTIFS('BD Asistencia'!$H:$H,"NO REMUNERADO",'BD Asistencia'!$C:$C,'Planilla Mensual'!$D18,'BD Asistencia'!$D:$D,"&gt;="&amp;'Planilla Mensual'!M18,'BD Asistencia'!$D:$D,"&lt;="&amp;'Planilla Mensual'!N18)-U18</f>
        <v>0</v>
      </c>
      <c r="AA18" s="8">
        <f>+COUNTIFS('BD Asistencia'!$E:$E,"F",'BD Asistencia'!$C:$C,'Planilla Mensual'!$D18,'BD Asistencia'!$D:$D,"&gt;="&amp;'Planilla Mensual'!M18,'BD Asistencia'!$D:$D,"&lt;="&amp;'Planilla Mensual'!N18)</f>
        <v>0</v>
      </c>
      <c r="AB18" s="8">
        <f t="shared" si="6"/>
        <v>15</v>
      </c>
      <c r="AC18" s="8">
        <v>7</v>
      </c>
      <c r="AD18" s="4">
        <f t="shared" si="16"/>
        <v>216.66666666666669</v>
      </c>
      <c r="AE18" s="4">
        <f>IF(P18="SI",113/2,0)</f>
        <v>0</v>
      </c>
      <c r="AF18" s="4">
        <f t="shared" si="1"/>
        <v>0</v>
      </c>
      <c r="AG18" s="4">
        <v>100</v>
      </c>
      <c r="AH18" s="4">
        <f t="shared" si="7"/>
        <v>70</v>
      </c>
      <c r="AI18" s="4">
        <f t="shared" si="8"/>
        <v>386.66666666666669</v>
      </c>
      <c r="AJ18" s="4">
        <f t="shared" ref="AJ18:AJ19" si="17">+V18*IF(RIGHT(F18,2)="N3",16,IF(RIGHT(F18,2)="N2",8,4))</f>
        <v>40</v>
      </c>
      <c r="AK18" s="4">
        <f t="shared" ref="AK18:AK19" si="18">V18*30</f>
        <v>150</v>
      </c>
      <c r="AL18" s="4">
        <f t="shared" ref="AL18:AL19" si="19">IF(G18="ONP",0,AI18*0.1)</f>
        <v>38.666666666666671</v>
      </c>
      <c r="AM18" s="4">
        <f t="shared" ref="AM18:AM19" si="20">IF(G18="ONP",0,AI18*1.37%)</f>
        <v>5.2973333333333334</v>
      </c>
      <c r="AN18" s="4">
        <f t="shared" ref="AN18:AN19" si="21">+IF(G18="ONP",AI18*0.13,0)</f>
        <v>0</v>
      </c>
      <c r="AO18" s="4">
        <v>0</v>
      </c>
      <c r="AP18" s="4"/>
      <c r="AQ18" s="4">
        <v>140</v>
      </c>
      <c r="AR18" s="4">
        <f>+SUM(AL18:AQ18)</f>
        <v>183.964</v>
      </c>
      <c r="AS18" s="4">
        <f>AI18-SUM(AL18:AQ18)</f>
        <v>202.70266666666669</v>
      </c>
      <c r="AT18" s="4">
        <f>AJ18+AK18</f>
        <v>190</v>
      </c>
      <c r="AU18" s="4"/>
      <c r="AV18" s="4">
        <f t="shared" ref="AV18:AV35" si="22">AS18+AT18</f>
        <v>392.70266666666669</v>
      </c>
      <c r="AX18" s="4">
        <f>+IF(RIGHT(F18,2)="N3",300,0)</f>
        <v>0</v>
      </c>
      <c r="AY18" s="4">
        <f>+AX18/30*SUM(V18:Y18)</f>
        <v>0</v>
      </c>
      <c r="AZ18" s="4">
        <f>+R18*(S18+T18)</f>
        <v>80</v>
      </c>
      <c r="BA18" s="4">
        <v>0</v>
      </c>
      <c r="BB18" s="4"/>
      <c r="BC18" s="4">
        <f t="shared" si="10"/>
        <v>472.70266666666669</v>
      </c>
      <c r="BD18" s="4">
        <f>AI18+AU18+AT18+AY18+AZ18+BA18+BB18</f>
        <v>656.66666666666674</v>
      </c>
      <c r="BE18" s="3">
        <f>(BC18+AQ18)/(V18+S18)</f>
        <v>102.11711111111111</v>
      </c>
      <c r="BF18" s="3">
        <f t="shared" si="11"/>
        <v>2655.0448888888891</v>
      </c>
      <c r="BG18" s="30">
        <f>(AV18+AY18+SUM(AL18:AQ18))/V18</f>
        <v>115.33333333333334</v>
      </c>
      <c r="BH18" s="30">
        <f>+(AZ18+BA18)/(S18+T18)</f>
        <v>80</v>
      </c>
      <c r="BI18">
        <f>+BD18/V18</f>
        <v>131.33333333333334</v>
      </c>
    </row>
    <row r="19" spans="1:61" x14ac:dyDescent="0.3">
      <c r="A19">
        <v>10</v>
      </c>
      <c r="B19" s="6" t="s">
        <v>177</v>
      </c>
      <c r="C19" s="6">
        <v>70828937</v>
      </c>
      <c r="D19" s="6" t="s">
        <v>96</v>
      </c>
      <c r="E19" s="7">
        <v>36383</v>
      </c>
      <c r="F19" s="6" t="s">
        <v>65</v>
      </c>
      <c r="G19" s="6" t="s">
        <v>53</v>
      </c>
      <c r="H19" s="6" t="s">
        <v>137</v>
      </c>
      <c r="I19" s="6" t="s">
        <v>118</v>
      </c>
      <c r="J19" s="6" t="s">
        <v>135</v>
      </c>
      <c r="K19" s="6"/>
      <c r="L19" s="24">
        <v>46153</v>
      </c>
      <c r="M19" s="7">
        <v>46143</v>
      </c>
      <c r="N19" s="7">
        <v>46157</v>
      </c>
      <c r="O19" s="7" t="str">
        <f t="shared" si="5"/>
        <v>Mayo - 20265</v>
      </c>
      <c r="P19" s="8" t="s">
        <v>41</v>
      </c>
      <c r="Q19" s="4">
        <v>1300</v>
      </c>
      <c r="R19" s="4"/>
      <c r="S19" s="8">
        <f>+COUNTIFS('BD Asistencia'!$E:$E,"A",'BD Asistencia'!$C:$C,'Planilla Mensual'!$D19,'BD Asistencia'!$D:$D,"&lt;"&amp;'Planilla Mensual'!L19)</f>
        <v>0</v>
      </c>
      <c r="T19" s="8">
        <f>+COUNTIFS('BD Asistencia'!$E:$E,"DR",'BD Asistencia'!$C:$C,'Planilla Mensual'!$D19,'BD Asistencia'!$D:$D,"&lt;"&amp;L19)</f>
        <v>0</v>
      </c>
      <c r="U19" s="8">
        <f>+COUNTIFS('BD Asistencia'!$H:$H,"NO REMUNERADO",'BD Asistencia'!$C:$C,'Planilla Mensual'!$D19,'BD Asistencia'!$D:$D,"&lt;"&amp;L19)</f>
        <v>10</v>
      </c>
      <c r="V19" s="8">
        <f>+COUNTIFS('BD Asistencia'!$E:$E,"A",'BD Asistencia'!$C:$C,'Planilla Mensual'!$D19,'BD Asistencia'!$D:$D,"&gt;="&amp;'Planilla Mensual'!M19,'BD Asistencia'!$D:$D,"&lt;="&amp;'Planilla Mensual'!N19)-S19</f>
        <v>5</v>
      </c>
      <c r="W19" s="8">
        <f>+COUNTIFS('BD Asistencia'!$E:$E,"DR",'BD Asistencia'!$C:$C,'Planilla Mensual'!$D19,'BD Asistencia'!$D:$D,"&gt;="&amp;'Planilla Mensual'!M19,'BD Asistencia'!$D:$D,"&lt;="&amp;'Planilla Mensual'!N19)-T19</f>
        <v>0</v>
      </c>
      <c r="X19" s="8">
        <f>+COUNTIFS('BD Asistencia'!$E:$E,"h",'BD Asistencia'!$C:$C,'Planilla Mensual'!$D19,'BD Asistencia'!$D:$D,"&gt;="&amp;'Planilla Mensual'!M19,'BD Asistencia'!$D:$D,"&lt;="&amp;'Planilla Mensual'!N19)</f>
        <v>0</v>
      </c>
      <c r="Y19" s="8">
        <f>+COUNTIFS('BD Asistencia'!$E:$E,"h/A",'BD Asistencia'!$C:$C,'Planilla Mensual'!$D19,'BD Asistencia'!$D:$D,"&gt;="&amp;'Planilla Mensual'!M19,'BD Asistencia'!$D:$D,"&lt;="&amp;'Planilla Mensual'!N19)</f>
        <v>0</v>
      </c>
      <c r="Z19" s="8">
        <f>+COUNTIFS('BD Asistencia'!$H:$H,"NO REMUNERADO",'BD Asistencia'!$C:$C,'Planilla Mensual'!$D19,'BD Asistencia'!$D:$D,"&gt;="&amp;'Planilla Mensual'!M19,'BD Asistencia'!$D:$D,"&lt;="&amp;'Planilla Mensual'!N19)-U19</f>
        <v>0</v>
      </c>
      <c r="AA19" s="8">
        <f>+COUNTIFS('BD Asistencia'!$E:$E,"F",'BD Asistencia'!$C:$C,'Planilla Mensual'!$D19,'BD Asistencia'!$D:$D,"&gt;="&amp;'Planilla Mensual'!M19,'BD Asistencia'!$D:$D,"&lt;="&amp;'Planilla Mensual'!N19)</f>
        <v>0</v>
      </c>
      <c r="AB19" s="8">
        <f t="shared" si="6"/>
        <v>15</v>
      </c>
      <c r="AC19" s="8"/>
      <c r="AD19" s="4">
        <f>+Q19/30*SUM(V19:Y19)</f>
        <v>216.66666666666669</v>
      </c>
      <c r="AE19" s="4">
        <f>IF(P19="SI",113/2,0)</f>
        <v>56.5</v>
      </c>
      <c r="AF19" s="4">
        <f t="shared" si="1"/>
        <v>0</v>
      </c>
      <c r="AG19" s="4">
        <v>100</v>
      </c>
      <c r="AH19" s="4">
        <f t="shared" si="7"/>
        <v>0</v>
      </c>
      <c r="AI19" s="4">
        <f t="shared" si="8"/>
        <v>373.16666666666669</v>
      </c>
      <c r="AJ19" s="4">
        <f t="shared" si="17"/>
        <v>80</v>
      </c>
      <c r="AK19" s="4">
        <f t="shared" si="18"/>
        <v>150</v>
      </c>
      <c r="AL19" s="4">
        <f t="shared" si="19"/>
        <v>37.31666666666667</v>
      </c>
      <c r="AM19" s="4">
        <f t="shared" si="20"/>
        <v>5.1123833333333337</v>
      </c>
      <c r="AN19" s="4">
        <f t="shared" si="21"/>
        <v>0</v>
      </c>
      <c r="AO19" s="4">
        <v>0</v>
      </c>
      <c r="AP19" s="4"/>
      <c r="AQ19" s="4">
        <v>80</v>
      </c>
      <c r="AR19" s="4">
        <f>+SUM(AL19:AQ19)</f>
        <v>122.42905</v>
      </c>
      <c r="AS19" s="4">
        <f>AI19-SUM(AL19:AQ19)</f>
        <v>250.73761666666667</v>
      </c>
      <c r="AT19" s="4">
        <f>AJ19+AK19</f>
        <v>230</v>
      </c>
      <c r="AU19" s="4"/>
      <c r="AV19" s="4">
        <f t="shared" si="22"/>
        <v>480.73761666666667</v>
      </c>
      <c r="AX19" s="4">
        <f>+IF(RIGHT(F19,2)="N3",300,0)</f>
        <v>300</v>
      </c>
      <c r="AY19" s="4">
        <f>+AX19/30*SUM(V19:Y19)</f>
        <v>50</v>
      </c>
      <c r="AZ19" s="4">
        <f>+R19*(S19+T19)</f>
        <v>0</v>
      </c>
      <c r="BA19" s="4">
        <v>0</v>
      </c>
      <c r="BB19" s="4"/>
      <c r="BC19" s="4">
        <f t="shared" si="10"/>
        <v>530.73761666666667</v>
      </c>
      <c r="BD19" s="4">
        <f>AI19+AU19+AT19+AY19+AZ19+BA19+BB19</f>
        <v>653.16666666666674</v>
      </c>
      <c r="BE19" s="3">
        <f>(BC19+AQ19)/(V19+S19)</f>
        <v>122.14752333333334</v>
      </c>
      <c r="BF19" s="3">
        <f t="shared" si="11"/>
        <v>3175.835606666667</v>
      </c>
      <c r="BG19" s="30">
        <f>(AV19+AY19+SUM(AL19:AQ19))/V19</f>
        <v>130.63333333333333</v>
      </c>
      <c r="BH19" s="30" t="e">
        <f>+(AZ19+BA19)/(S19+T19)</f>
        <v>#DIV/0!</v>
      </c>
      <c r="BI19">
        <f>+BD19/V19</f>
        <v>130.63333333333335</v>
      </c>
    </row>
    <row r="20" spans="1:61" x14ac:dyDescent="0.3">
      <c r="A20">
        <v>10</v>
      </c>
      <c r="B20" s="6" t="s">
        <v>179</v>
      </c>
      <c r="C20" s="6">
        <v>43070165</v>
      </c>
      <c r="D20" s="6" t="s">
        <v>87</v>
      </c>
      <c r="E20" s="26">
        <v>45784</v>
      </c>
      <c r="F20" s="25"/>
      <c r="G20" s="25"/>
      <c r="H20" s="25"/>
      <c r="I20" s="25" t="s">
        <v>118</v>
      </c>
      <c r="J20" s="25" t="s">
        <v>163</v>
      </c>
      <c r="K20" s="25"/>
      <c r="L20" s="27">
        <v>46158</v>
      </c>
      <c r="M20" s="7">
        <v>46143</v>
      </c>
      <c r="N20" s="7">
        <v>46157</v>
      </c>
      <c r="O20" s="7" t="str">
        <f t="shared" si="5"/>
        <v>Mayo - 20265</v>
      </c>
      <c r="P20" s="8" t="s">
        <v>41</v>
      </c>
      <c r="Q20" s="4"/>
      <c r="R20" s="4">
        <v>90</v>
      </c>
      <c r="S20" s="8">
        <f>+COUNTIFS('BD Asistencia'!$E:$E,"A",'BD Asistencia'!$C:$C,'Planilla Mensual'!$D20,'BD Asistencia'!$D:$D,"&lt;"&amp;'Planilla Mensual'!L20)</f>
        <v>12</v>
      </c>
      <c r="T20" s="8">
        <f>+COUNTIFS('BD Asistencia'!$E:$E,"DR",'BD Asistencia'!$C:$C,'Planilla Mensual'!$D20,'BD Asistencia'!$D:$D,"&lt;"&amp;L20)</f>
        <v>3</v>
      </c>
      <c r="U20" s="8">
        <f>+COUNTIFS('BD Asistencia'!$H:$H,"NO REMUNERADO",'BD Asistencia'!$C:$C,'Planilla Mensual'!$D20,'BD Asistencia'!$D:$D,"&lt;"&amp;L20)</f>
        <v>0</v>
      </c>
      <c r="V20" s="8">
        <f>+COUNTIFS('BD Asistencia'!$E:$E,"A",'BD Asistencia'!$C:$C,'Planilla Mensual'!$D20,'BD Asistencia'!$D:$D,"&gt;="&amp;'Planilla Mensual'!M20,'BD Asistencia'!$D:$D,"&lt;="&amp;'Planilla Mensual'!N20)-S20</f>
        <v>0</v>
      </c>
      <c r="W20" s="8">
        <f>+COUNTIFS('BD Asistencia'!$E:$E,"DR",'BD Asistencia'!$C:$C,'Planilla Mensual'!$D20,'BD Asistencia'!$D:$D,"&gt;="&amp;'Planilla Mensual'!M20,'BD Asistencia'!$D:$D,"&lt;="&amp;'Planilla Mensual'!N20)-T20</f>
        <v>0</v>
      </c>
      <c r="X20" s="8">
        <f>+COUNTIFS('BD Asistencia'!$E:$E,"h",'BD Asistencia'!$C:$C,'Planilla Mensual'!$D20,'BD Asistencia'!$D:$D,"&gt;="&amp;'Planilla Mensual'!M20,'BD Asistencia'!$D:$D,"&lt;="&amp;'Planilla Mensual'!N20)</f>
        <v>0</v>
      </c>
      <c r="Y20" s="8">
        <f>+COUNTIFS('BD Asistencia'!$E:$E,"h/A",'BD Asistencia'!$C:$C,'Planilla Mensual'!$D20,'BD Asistencia'!$D:$D,"&gt;="&amp;'Planilla Mensual'!M20,'BD Asistencia'!$D:$D,"&lt;="&amp;'Planilla Mensual'!N20)</f>
        <v>0</v>
      </c>
      <c r="Z20" s="8">
        <f>+COUNTIFS('BD Asistencia'!$H:$H,"NO REMUNERADO",'BD Asistencia'!$C:$C,'Planilla Mensual'!$D20,'BD Asistencia'!$D:$D,"&gt;="&amp;'Planilla Mensual'!M20,'BD Asistencia'!$D:$D,"&lt;="&amp;'Planilla Mensual'!N20)-U20</f>
        <v>0</v>
      </c>
      <c r="AA20" s="8">
        <f>+COUNTIFS('BD Asistencia'!$E:$E,"F",'BD Asistencia'!$C:$C,'Planilla Mensual'!$D20,'BD Asistencia'!$D:$D,"&gt;="&amp;'Planilla Mensual'!M20,'BD Asistencia'!$D:$D,"&lt;="&amp;'Planilla Mensual'!N20)</f>
        <v>0</v>
      </c>
      <c r="AB20" s="8">
        <f t="shared" si="6"/>
        <v>15</v>
      </c>
      <c r="AC20" s="8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>
        <f>+SUM(AL20:AQ20)</f>
        <v>0</v>
      </c>
      <c r="AS20" s="4">
        <f>AI20-SUM(AL20:AQ20)</f>
        <v>0</v>
      </c>
      <c r="AT20" s="4">
        <f>AJ20+AK20</f>
        <v>0</v>
      </c>
      <c r="AU20" s="4"/>
      <c r="AV20" s="4">
        <f t="shared" si="22"/>
        <v>0</v>
      </c>
      <c r="AX20" s="4"/>
      <c r="AY20" s="4"/>
      <c r="AZ20" s="4">
        <f>+R20*(S20+T20)</f>
        <v>1350</v>
      </c>
      <c r="BA20" s="4"/>
      <c r="BB20" s="4">
        <f>+AC20*A20</f>
        <v>0</v>
      </c>
      <c r="BC20" s="4">
        <f t="shared" si="10"/>
        <v>1350</v>
      </c>
      <c r="BD20" s="4">
        <f>AI20+AU20+AT20+AY20+AZ20+BA20+BB20</f>
        <v>1350</v>
      </c>
      <c r="BG20" s="30" t="e">
        <f>(AV20+AY20+SUM(AL20:AQ20))/V20</f>
        <v>#DIV/0!</v>
      </c>
      <c r="BH20" s="30">
        <f>+(AZ20+BA20)/(S20+T20)</f>
        <v>90</v>
      </c>
      <c r="BI20">
        <f>25+15</f>
        <v>40</v>
      </c>
    </row>
    <row r="21" spans="1:61" x14ac:dyDescent="0.3">
      <c r="A21">
        <v>18</v>
      </c>
      <c r="B21" s="6" t="s">
        <v>179</v>
      </c>
      <c r="C21" s="6">
        <v>47665126</v>
      </c>
      <c r="D21" s="6" t="s">
        <v>81</v>
      </c>
      <c r="E21" s="7">
        <v>33994</v>
      </c>
      <c r="F21" s="6"/>
      <c r="G21" s="6"/>
      <c r="H21" s="6"/>
      <c r="I21" s="6" t="s">
        <v>118</v>
      </c>
      <c r="J21" s="6" t="s">
        <v>164</v>
      </c>
      <c r="K21" s="6"/>
      <c r="L21" s="24">
        <v>46158</v>
      </c>
      <c r="M21" s="7">
        <v>46143</v>
      </c>
      <c r="N21" s="7">
        <v>46157</v>
      </c>
      <c r="O21" s="7" t="str">
        <f t="shared" si="5"/>
        <v>Mayo - 20265</v>
      </c>
      <c r="P21" s="8" t="s">
        <v>41</v>
      </c>
      <c r="Q21" s="4"/>
      <c r="R21" s="4">
        <v>80</v>
      </c>
      <c r="S21" s="8">
        <f>+COUNTIFS('BD Asistencia'!$E:$E,"A",'BD Asistencia'!$C:$C,'Planilla Mensual'!$D21,'BD Asistencia'!$D:$D,"&lt;"&amp;'Planilla Mensual'!L21)</f>
        <v>14</v>
      </c>
      <c r="T21" s="8">
        <f>+COUNTIFS('BD Asistencia'!$E:$E,"DR",'BD Asistencia'!$C:$C,'Planilla Mensual'!$D21,'BD Asistencia'!$D:$D,"&lt;"&amp;L21)</f>
        <v>1</v>
      </c>
      <c r="U21" s="8">
        <f>+COUNTIFS('BD Asistencia'!$H:$H,"NO REMUNERADO",'BD Asistencia'!$C:$C,'Planilla Mensual'!$D21,'BD Asistencia'!$D:$D,"&lt;"&amp;L21)</f>
        <v>0</v>
      </c>
      <c r="V21" s="8">
        <f>+COUNTIFS('BD Asistencia'!$E:$E,"A",'BD Asistencia'!$C:$C,'Planilla Mensual'!$D21,'BD Asistencia'!$D:$D,"&gt;="&amp;'Planilla Mensual'!M21,'BD Asistencia'!$D:$D,"&lt;="&amp;'Planilla Mensual'!N21)-S21</f>
        <v>0</v>
      </c>
      <c r="W21" s="8">
        <f>+COUNTIFS('BD Asistencia'!$E:$E,"DR",'BD Asistencia'!$C:$C,'Planilla Mensual'!$D21,'BD Asistencia'!$D:$D,"&gt;="&amp;'Planilla Mensual'!M21,'BD Asistencia'!$D:$D,"&lt;="&amp;'Planilla Mensual'!N21)-T21</f>
        <v>0</v>
      </c>
      <c r="X21" s="8">
        <f>+COUNTIFS('BD Asistencia'!$E:$E,"h",'BD Asistencia'!$C:$C,'Planilla Mensual'!$D21,'BD Asistencia'!$D:$D,"&gt;="&amp;'Planilla Mensual'!M21,'BD Asistencia'!$D:$D,"&lt;="&amp;'Planilla Mensual'!N21)</f>
        <v>0</v>
      </c>
      <c r="Y21" s="8">
        <f>+COUNTIFS('BD Asistencia'!$E:$E,"h/A",'BD Asistencia'!$C:$C,'Planilla Mensual'!$D21,'BD Asistencia'!$D:$D,"&gt;="&amp;'Planilla Mensual'!M21,'BD Asistencia'!$D:$D,"&lt;="&amp;'Planilla Mensual'!N21)</f>
        <v>0</v>
      </c>
      <c r="Z21" s="8">
        <f>+COUNTIFS('BD Asistencia'!$H:$H,"NO REMUNERADO",'BD Asistencia'!$C:$C,'Planilla Mensual'!$D21,'BD Asistencia'!$D:$D,"&gt;="&amp;'Planilla Mensual'!M21,'BD Asistencia'!$D:$D,"&lt;="&amp;'Planilla Mensual'!N21)-U21</f>
        <v>0</v>
      </c>
      <c r="AA21" s="8">
        <f>+COUNTIFS('BD Asistencia'!$E:$E,"F",'BD Asistencia'!$C:$C,'Planilla Mensual'!$D21,'BD Asistencia'!$D:$D,"&gt;="&amp;'Planilla Mensual'!M21,'BD Asistencia'!$D:$D,"&lt;="&amp;'Planilla Mensual'!N21)</f>
        <v>0</v>
      </c>
      <c r="AB21" s="8">
        <f t="shared" si="6"/>
        <v>15</v>
      </c>
      <c r="AC21" s="8">
        <v>3</v>
      </c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>
        <f>+SUM(AL21:AQ21)</f>
        <v>0</v>
      </c>
      <c r="AS21" s="4">
        <f>AI21-SUM(AL21:AQ21)</f>
        <v>0</v>
      </c>
      <c r="AT21" s="4">
        <f>AJ21+AK21</f>
        <v>0</v>
      </c>
      <c r="AU21" s="4"/>
      <c r="AV21" s="4">
        <f t="shared" si="22"/>
        <v>0</v>
      </c>
      <c r="AX21" s="4"/>
      <c r="AY21" s="4"/>
      <c r="AZ21" s="4">
        <f>+R21*(S21+T21)</f>
        <v>1200</v>
      </c>
      <c r="BA21" s="4"/>
      <c r="BB21" s="4">
        <f>+AC21*A21</f>
        <v>54</v>
      </c>
      <c r="BC21" s="4">
        <f t="shared" si="10"/>
        <v>1254</v>
      </c>
      <c r="BD21" s="4">
        <f>AI21+AU21+AT21+AY21+AZ21+BA21+BB21</f>
        <v>1254</v>
      </c>
      <c r="BG21" s="30" t="e">
        <f>(AV21+AY21+SUM(AL21:AQ21))/V21</f>
        <v>#DIV/0!</v>
      </c>
      <c r="BH21" s="30">
        <f>+(AZ21+BA21)/(S21+T21)</f>
        <v>80</v>
      </c>
    </row>
    <row r="22" spans="1:61" x14ac:dyDescent="0.3">
      <c r="A22">
        <v>10</v>
      </c>
      <c r="B22" s="6" t="s">
        <v>179</v>
      </c>
      <c r="C22" s="6">
        <v>8123707</v>
      </c>
      <c r="D22" s="6" t="s">
        <v>151</v>
      </c>
      <c r="E22" s="7">
        <v>32714</v>
      </c>
      <c r="F22" s="6"/>
      <c r="G22" s="6"/>
      <c r="H22" s="6"/>
      <c r="I22" s="6" t="s">
        <v>118</v>
      </c>
      <c r="J22" s="6" t="s">
        <v>165</v>
      </c>
      <c r="K22" s="6"/>
      <c r="L22" s="24">
        <v>46158</v>
      </c>
      <c r="M22" s="7">
        <v>46143</v>
      </c>
      <c r="N22" s="7">
        <v>46157</v>
      </c>
      <c r="O22" s="7" t="str">
        <f t="shared" si="5"/>
        <v>Mayo - 20265</v>
      </c>
      <c r="P22" s="8" t="s">
        <v>41</v>
      </c>
      <c r="Q22" s="4"/>
      <c r="R22" s="4">
        <v>80</v>
      </c>
      <c r="S22" s="8">
        <f>+COUNTIFS('BD Asistencia'!$E:$E,"A",'BD Asistencia'!$C:$C,'Planilla Mensual'!$D22,'BD Asistencia'!$D:$D,"&lt;"&amp;'Planilla Mensual'!L22)</f>
        <v>7</v>
      </c>
      <c r="T22" s="8">
        <f>+COUNTIFS('BD Asistencia'!$E:$E,"DR",'BD Asistencia'!$C:$C,'Planilla Mensual'!$D22,'BD Asistencia'!$D:$D,"&lt;"&amp;L22)</f>
        <v>4</v>
      </c>
      <c r="U22" s="8">
        <f>+COUNTIFS('BD Asistencia'!$H:$H,"NO REMUNERADO",'BD Asistencia'!$C:$C,'Planilla Mensual'!$D22,'BD Asistencia'!$D:$D,"&lt;"&amp;L22)</f>
        <v>4</v>
      </c>
      <c r="V22" s="8">
        <f>+COUNTIFS('BD Asistencia'!$E:$E,"A",'BD Asistencia'!$C:$C,'Planilla Mensual'!$D22,'BD Asistencia'!$D:$D,"&gt;="&amp;'Planilla Mensual'!M22,'BD Asistencia'!$D:$D,"&lt;="&amp;'Planilla Mensual'!N22)-S22</f>
        <v>0</v>
      </c>
      <c r="W22" s="8">
        <f>+COUNTIFS('BD Asistencia'!$E:$E,"DR",'BD Asistencia'!$C:$C,'Planilla Mensual'!$D22,'BD Asistencia'!$D:$D,"&gt;="&amp;'Planilla Mensual'!M22,'BD Asistencia'!$D:$D,"&lt;="&amp;'Planilla Mensual'!N22)-T22</f>
        <v>0</v>
      </c>
      <c r="X22" s="8">
        <f>+COUNTIFS('BD Asistencia'!$E:$E,"h",'BD Asistencia'!$C:$C,'Planilla Mensual'!$D22,'BD Asistencia'!$D:$D,"&gt;="&amp;'Planilla Mensual'!M22,'BD Asistencia'!$D:$D,"&lt;="&amp;'Planilla Mensual'!N22)</f>
        <v>0</v>
      </c>
      <c r="Y22" s="8">
        <f>+COUNTIFS('BD Asistencia'!$E:$E,"h/A",'BD Asistencia'!$C:$C,'Planilla Mensual'!$D22,'BD Asistencia'!$D:$D,"&gt;="&amp;'Planilla Mensual'!M22,'BD Asistencia'!$D:$D,"&lt;="&amp;'Planilla Mensual'!N22)</f>
        <v>0</v>
      </c>
      <c r="Z22" s="8">
        <f>+COUNTIFS('BD Asistencia'!$H:$H,"NO REMUNERADO",'BD Asistencia'!$C:$C,'Planilla Mensual'!$D22,'BD Asistencia'!$D:$D,"&gt;="&amp;'Planilla Mensual'!M22,'BD Asistencia'!$D:$D,"&lt;="&amp;'Planilla Mensual'!N22)-U22</f>
        <v>0</v>
      </c>
      <c r="AA22" s="8">
        <f>+COUNTIFS('BD Asistencia'!$E:$E,"F",'BD Asistencia'!$C:$C,'Planilla Mensual'!$D22,'BD Asistencia'!$D:$D,"&gt;="&amp;'Planilla Mensual'!M22,'BD Asistencia'!$D:$D,"&lt;="&amp;'Planilla Mensual'!N22)</f>
        <v>0</v>
      </c>
      <c r="AB22" s="8">
        <f t="shared" si="6"/>
        <v>15</v>
      </c>
      <c r="AC22" s="8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>
        <f>+SUM(AL22:AQ22)</f>
        <v>0</v>
      </c>
      <c r="AS22" s="4">
        <f>AI22-SUM(AL22:AQ22)</f>
        <v>0</v>
      </c>
      <c r="AT22" s="4">
        <f>AJ22+AK22</f>
        <v>0</v>
      </c>
      <c r="AU22" s="4"/>
      <c r="AV22" s="4">
        <f t="shared" si="22"/>
        <v>0</v>
      </c>
      <c r="AX22" s="4"/>
      <c r="AY22" s="4"/>
      <c r="AZ22" s="4">
        <f>+R22*(S22+T22)</f>
        <v>880</v>
      </c>
      <c r="BA22" s="4"/>
      <c r="BB22" s="4">
        <f>+AC22*A22</f>
        <v>0</v>
      </c>
      <c r="BC22" s="4">
        <f t="shared" si="10"/>
        <v>880</v>
      </c>
      <c r="BD22" s="4">
        <f>AI22+AU22+AT22+AY22+AZ22+BA22+BB22</f>
        <v>880</v>
      </c>
      <c r="BG22" s="30" t="e">
        <f>(AV22+AY22+SUM(AL22:AQ22))/V22</f>
        <v>#DIV/0!</v>
      </c>
      <c r="BH22" s="30">
        <f>+(AZ22+BA22)/(S22+T22)</f>
        <v>80</v>
      </c>
    </row>
    <row r="23" spans="1:61" x14ac:dyDescent="0.3">
      <c r="A23">
        <v>10</v>
      </c>
      <c r="B23" s="6" t="s">
        <v>179</v>
      </c>
      <c r="C23" s="6"/>
      <c r="D23" s="6" t="s">
        <v>158</v>
      </c>
      <c r="E23" s="7"/>
      <c r="F23" s="6"/>
      <c r="G23" s="6"/>
      <c r="H23" s="6"/>
      <c r="I23" s="6" t="s">
        <v>166</v>
      </c>
      <c r="J23" s="6" t="s">
        <v>167</v>
      </c>
      <c r="K23" s="6"/>
      <c r="L23" s="24">
        <v>46158</v>
      </c>
      <c r="M23" s="7">
        <v>46143</v>
      </c>
      <c r="N23" s="7">
        <v>46157</v>
      </c>
      <c r="O23" s="7" t="str">
        <f t="shared" si="5"/>
        <v>Mayo - 20265</v>
      </c>
      <c r="P23" s="8"/>
      <c r="Q23" s="4"/>
      <c r="R23" s="4">
        <v>100</v>
      </c>
      <c r="S23" s="8">
        <f>+COUNTIFS('BD Asistencia'!$E:$E,"A",'BD Asistencia'!$C:$C,'Planilla Mensual'!$D23,'BD Asistencia'!$D:$D,"&lt;"&amp;'Planilla Mensual'!L23)</f>
        <v>2</v>
      </c>
      <c r="T23" s="8">
        <f>+COUNTIFS('BD Asistencia'!$E:$E,"DR",'BD Asistencia'!$C:$C,'Planilla Mensual'!$D23,'BD Asistencia'!$D:$D,"&lt;"&amp;L23)</f>
        <v>0</v>
      </c>
      <c r="U23" s="8">
        <f>+COUNTIFS('BD Asistencia'!$H:$H,"NO REMUNERADO",'BD Asistencia'!$C:$C,'Planilla Mensual'!$D23,'BD Asistencia'!$D:$D,"&lt;"&amp;L23)</f>
        <v>13</v>
      </c>
      <c r="V23" s="8">
        <f>+COUNTIFS('BD Asistencia'!$E:$E,"A",'BD Asistencia'!$C:$C,'Planilla Mensual'!$D23,'BD Asistencia'!$D:$D,"&gt;="&amp;'Planilla Mensual'!M23,'BD Asistencia'!$D:$D,"&lt;="&amp;'Planilla Mensual'!N23)-S23</f>
        <v>0</v>
      </c>
      <c r="W23" s="8">
        <f>+COUNTIFS('BD Asistencia'!$E:$E,"DR",'BD Asistencia'!$C:$C,'Planilla Mensual'!$D23,'BD Asistencia'!$D:$D,"&gt;="&amp;'Planilla Mensual'!M23,'BD Asistencia'!$D:$D,"&lt;="&amp;'Planilla Mensual'!N23)-T23</f>
        <v>0</v>
      </c>
      <c r="X23" s="8">
        <f>+COUNTIFS('BD Asistencia'!$E:$E,"h",'BD Asistencia'!$C:$C,'Planilla Mensual'!$D23,'BD Asistencia'!$D:$D,"&gt;="&amp;'Planilla Mensual'!M23,'BD Asistencia'!$D:$D,"&lt;="&amp;'Planilla Mensual'!N23)</f>
        <v>0</v>
      </c>
      <c r="Y23" s="8">
        <f>+COUNTIFS('BD Asistencia'!$E:$E,"h/A",'BD Asistencia'!$C:$C,'Planilla Mensual'!$D23,'BD Asistencia'!$D:$D,"&gt;="&amp;'Planilla Mensual'!M23,'BD Asistencia'!$D:$D,"&lt;="&amp;'Planilla Mensual'!N23)</f>
        <v>0</v>
      </c>
      <c r="Z23" s="8">
        <f>+COUNTIFS('BD Asistencia'!$H:$H,"NO REMUNERADO",'BD Asistencia'!$C:$C,'Planilla Mensual'!$D23,'BD Asistencia'!$D:$D,"&gt;="&amp;'Planilla Mensual'!M23,'BD Asistencia'!$D:$D,"&lt;="&amp;'Planilla Mensual'!N23)-U23</f>
        <v>0</v>
      </c>
      <c r="AA23" s="8">
        <f>+COUNTIFS('BD Asistencia'!$E:$E,"F",'BD Asistencia'!$C:$C,'Planilla Mensual'!$D23,'BD Asistencia'!$D:$D,"&gt;="&amp;'Planilla Mensual'!M23,'BD Asistencia'!$D:$D,"&lt;="&amp;'Planilla Mensual'!N23)</f>
        <v>0</v>
      </c>
      <c r="AB23" s="8">
        <f t="shared" si="6"/>
        <v>15</v>
      </c>
      <c r="AC23" s="8">
        <v>1</v>
      </c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>
        <f>+SUM(AL23:AQ23)</f>
        <v>0</v>
      </c>
      <c r="AS23" s="4">
        <f>AI23-SUM(AL23:AQ23)</f>
        <v>0</v>
      </c>
      <c r="AT23" s="4">
        <f>AJ23+AK23</f>
        <v>0</v>
      </c>
      <c r="AU23" s="4"/>
      <c r="AV23" s="4">
        <f t="shared" si="22"/>
        <v>0</v>
      </c>
      <c r="AX23" s="4"/>
      <c r="AY23" s="4"/>
      <c r="AZ23" s="4">
        <f>+R23*(S23+T23)</f>
        <v>200</v>
      </c>
      <c r="BA23" s="4"/>
      <c r="BB23" s="4">
        <f>+AC23*A23</f>
        <v>10</v>
      </c>
      <c r="BC23" s="4">
        <f t="shared" si="10"/>
        <v>210</v>
      </c>
      <c r="BD23" s="4">
        <f>AI23+AU23+AT23+AY23+AZ23+BA23+BB23</f>
        <v>210</v>
      </c>
      <c r="BG23" s="30" t="e">
        <f>(AV23+AY23+SUM(AL23:AQ23))/V23</f>
        <v>#DIV/0!</v>
      </c>
      <c r="BH23" s="30">
        <f>+(AZ23+BA23)/(S23+T23)</f>
        <v>100</v>
      </c>
    </row>
    <row r="24" spans="1:61" x14ac:dyDescent="0.3">
      <c r="A24">
        <v>18</v>
      </c>
      <c r="B24" s="6" t="s">
        <v>179</v>
      </c>
      <c r="C24" s="6">
        <v>75460380</v>
      </c>
      <c r="D24" s="6" t="s">
        <v>80</v>
      </c>
      <c r="E24" s="7">
        <v>37038</v>
      </c>
      <c r="F24" s="6"/>
      <c r="G24" s="6"/>
      <c r="H24" s="6"/>
      <c r="I24" s="6" t="s">
        <v>118</v>
      </c>
      <c r="J24" s="6" t="s">
        <v>168</v>
      </c>
      <c r="K24" s="6"/>
      <c r="L24" s="24">
        <v>46158</v>
      </c>
      <c r="M24" s="7">
        <v>46143</v>
      </c>
      <c r="N24" s="7">
        <v>46157</v>
      </c>
      <c r="O24" s="7" t="str">
        <f t="shared" si="5"/>
        <v>Mayo - 20265</v>
      </c>
      <c r="P24" s="8" t="s">
        <v>64</v>
      </c>
      <c r="Q24" s="4"/>
      <c r="R24" s="4">
        <v>80</v>
      </c>
      <c r="S24" s="8">
        <f>+COUNTIFS('BD Asistencia'!$E:$E,"A",'BD Asistencia'!$C:$C,'Planilla Mensual'!$D24,'BD Asistencia'!$D:$D,"&lt;"&amp;'Planilla Mensual'!L24)</f>
        <v>14</v>
      </c>
      <c r="T24" s="8">
        <f>+COUNTIFS('BD Asistencia'!$E:$E,"DR",'BD Asistencia'!$C:$C,'Planilla Mensual'!$D24,'BD Asistencia'!$D:$D,"&lt;"&amp;L24)</f>
        <v>1</v>
      </c>
      <c r="U24" s="8">
        <f>+COUNTIFS('BD Asistencia'!$H:$H,"NO REMUNERADO",'BD Asistencia'!$C:$C,'Planilla Mensual'!$D24,'BD Asistencia'!$D:$D,"&lt;"&amp;L24)</f>
        <v>0</v>
      </c>
      <c r="V24" s="8">
        <f>+COUNTIFS('BD Asistencia'!$E:$E,"A",'BD Asistencia'!$C:$C,'Planilla Mensual'!$D24,'BD Asistencia'!$D:$D,"&gt;="&amp;'Planilla Mensual'!M24,'BD Asistencia'!$D:$D,"&lt;="&amp;'Planilla Mensual'!N24)-S24</f>
        <v>0</v>
      </c>
      <c r="W24" s="8">
        <f>+COUNTIFS('BD Asistencia'!$E:$E,"DR",'BD Asistencia'!$C:$C,'Planilla Mensual'!$D24,'BD Asistencia'!$D:$D,"&gt;="&amp;'Planilla Mensual'!M24,'BD Asistencia'!$D:$D,"&lt;="&amp;'Planilla Mensual'!N24)-T24</f>
        <v>0</v>
      </c>
      <c r="X24" s="8">
        <f>+COUNTIFS('BD Asistencia'!$E:$E,"h",'BD Asistencia'!$C:$C,'Planilla Mensual'!$D24,'BD Asistencia'!$D:$D,"&gt;="&amp;'Planilla Mensual'!M24,'BD Asistencia'!$D:$D,"&lt;="&amp;'Planilla Mensual'!N24)</f>
        <v>0</v>
      </c>
      <c r="Y24" s="8">
        <f>+COUNTIFS('BD Asistencia'!$E:$E,"h/A",'BD Asistencia'!$C:$C,'Planilla Mensual'!$D24,'BD Asistencia'!$D:$D,"&gt;="&amp;'Planilla Mensual'!M24,'BD Asistencia'!$D:$D,"&lt;="&amp;'Planilla Mensual'!N24)</f>
        <v>0</v>
      </c>
      <c r="Z24" s="8">
        <f>+COUNTIFS('BD Asistencia'!$H:$H,"NO REMUNERADO",'BD Asistencia'!$C:$C,'Planilla Mensual'!$D24,'BD Asistencia'!$D:$D,"&gt;="&amp;'Planilla Mensual'!M24,'BD Asistencia'!$D:$D,"&lt;="&amp;'Planilla Mensual'!N24)-U24</f>
        <v>0</v>
      </c>
      <c r="AA24" s="8">
        <f>+COUNTIFS('BD Asistencia'!$E:$E,"F",'BD Asistencia'!$C:$C,'Planilla Mensual'!$D24,'BD Asistencia'!$D:$D,"&gt;="&amp;'Planilla Mensual'!M24,'BD Asistencia'!$D:$D,"&lt;="&amp;'Planilla Mensual'!N24)</f>
        <v>0</v>
      </c>
      <c r="AB24" s="8">
        <f t="shared" si="6"/>
        <v>15</v>
      </c>
      <c r="AC24" s="8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>
        <f>+SUM(AL24:AQ24)</f>
        <v>0</v>
      </c>
      <c r="AS24" s="4">
        <f>AI24-SUM(AL24:AQ24)</f>
        <v>0</v>
      </c>
      <c r="AT24" s="4">
        <f>AJ24+AK24</f>
        <v>0</v>
      </c>
      <c r="AU24" s="4"/>
      <c r="AV24" s="4">
        <f t="shared" si="22"/>
        <v>0</v>
      </c>
      <c r="AX24" s="4"/>
      <c r="AY24" s="4"/>
      <c r="AZ24" s="4">
        <f>+R24*(S24+T24)</f>
        <v>1200</v>
      </c>
      <c r="BA24" s="4"/>
      <c r="BB24" s="4">
        <f>+AC24*A24</f>
        <v>0</v>
      </c>
      <c r="BC24" s="4">
        <f t="shared" si="10"/>
        <v>1200</v>
      </c>
      <c r="BD24" s="4">
        <f>AI24+AU24+AT24+AY24+AZ24+BA24+BB24</f>
        <v>1200</v>
      </c>
      <c r="BG24" s="30" t="e">
        <f>(AV24+AY24+SUM(AL24:AQ24))/V24</f>
        <v>#DIV/0!</v>
      </c>
      <c r="BH24" s="30">
        <f>+(AZ24+BA24)/(S24+T24)</f>
        <v>80</v>
      </c>
    </row>
    <row r="25" spans="1:61" x14ac:dyDescent="0.3">
      <c r="A25">
        <v>18</v>
      </c>
      <c r="B25" s="6" t="s">
        <v>179</v>
      </c>
      <c r="C25" s="6">
        <v>74658514</v>
      </c>
      <c r="D25" s="6" t="s">
        <v>82</v>
      </c>
      <c r="E25" s="7">
        <v>37418</v>
      </c>
      <c r="F25" s="6"/>
      <c r="G25" s="6"/>
      <c r="H25" s="6"/>
      <c r="I25" s="6" t="s">
        <v>166</v>
      </c>
      <c r="J25" s="6" t="s">
        <v>169</v>
      </c>
      <c r="K25" s="6"/>
      <c r="L25" s="24">
        <v>46158</v>
      </c>
      <c r="M25" s="7">
        <v>46143</v>
      </c>
      <c r="N25" s="7">
        <v>46157</v>
      </c>
      <c r="O25" s="7" t="str">
        <f t="shared" si="5"/>
        <v>Mayo - 20265</v>
      </c>
      <c r="P25" s="8" t="s">
        <v>64</v>
      </c>
      <c r="Q25" s="4"/>
      <c r="R25" s="4">
        <v>80</v>
      </c>
      <c r="S25" s="8">
        <f>+COUNTIFS('BD Asistencia'!$E:$E,"A",'BD Asistencia'!$C:$C,'Planilla Mensual'!$D25,'BD Asistencia'!$D:$D,"&lt;"&amp;'Planilla Mensual'!L25)</f>
        <v>14</v>
      </c>
      <c r="T25" s="8">
        <f>+COUNTIFS('BD Asistencia'!$E:$E,"DR",'BD Asistencia'!$C:$C,'Planilla Mensual'!$D25,'BD Asistencia'!$D:$D,"&lt;"&amp;L25)</f>
        <v>1</v>
      </c>
      <c r="U25" s="8">
        <f>+COUNTIFS('BD Asistencia'!$H:$H,"NO REMUNERADO",'BD Asistencia'!$C:$C,'Planilla Mensual'!$D25,'BD Asistencia'!$D:$D,"&lt;"&amp;L25)</f>
        <v>0</v>
      </c>
      <c r="V25" s="8">
        <f>+COUNTIFS('BD Asistencia'!$E:$E,"A",'BD Asistencia'!$C:$C,'Planilla Mensual'!$D25,'BD Asistencia'!$D:$D,"&gt;="&amp;'Planilla Mensual'!M25,'BD Asistencia'!$D:$D,"&lt;="&amp;'Planilla Mensual'!N25)-S25</f>
        <v>0</v>
      </c>
      <c r="W25" s="8">
        <f>+COUNTIFS('BD Asistencia'!$E:$E,"DR",'BD Asistencia'!$C:$C,'Planilla Mensual'!$D25,'BD Asistencia'!$D:$D,"&gt;="&amp;'Planilla Mensual'!M25,'BD Asistencia'!$D:$D,"&lt;="&amp;'Planilla Mensual'!N25)-T25</f>
        <v>0</v>
      </c>
      <c r="X25" s="8">
        <f>+COUNTIFS('BD Asistencia'!$E:$E,"h",'BD Asistencia'!$C:$C,'Planilla Mensual'!$D25,'BD Asistencia'!$D:$D,"&gt;="&amp;'Planilla Mensual'!M25,'BD Asistencia'!$D:$D,"&lt;="&amp;'Planilla Mensual'!N25)</f>
        <v>0</v>
      </c>
      <c r="Y25" s="8">
        <f>+COUNTIFS('BD Asistencia'!$E:$E,"h/A",'BD Asistencia'!$C:$C,'Planilla Mensual'!$D25,'BD Asistencia'!$D:$D,"&gt;="&amp;'Planilla Mensual'!M25,'BD Asistencia'!$D:$D,"&lt;="&amp;'Planilla Mensual'!N25)</f>
        <v>0</v>
      </c>
      <c r="Z25" s="8">
        <f>+COUNTIFS('BD Asistencia'!$H:$H,"NO REMUNERADO",'BD Asistencia'!$C:$C,'Planilla Mensual'!$D25,'BD Asistencia'!$D:$D,"&gt;="&amp;'Planilla Mensual'!M25,'BD Asistencia'!$D:$D,"&lt;="&amp;'Planilla Mensual'!N25)-U25</f>
        <v>0</v>
      </c>
      <c r="AA25" s="8">
        <f>+COUNTIFS('BD Asistencia'!$E:$E,"F",'BD Asistencia'!$C:$C,'Planilla Mensual'!$D25,'BD Asistencia'!$D:$D,"&gt;="&amp;'Planilla Mensual'!M25,'BD Asistencia'!$D:$D,"&lt;="&amp;'Planilla Mensual'!N25)</f>
        <v>0</v>
      </c>
      <c r="AB25" s="8">
        <f t="shared" si="6"/>
        <v>15</v>
      </c>
      <c r="AC25" s="8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>
        <f>+SUM(AL25:AQ25)</f>
        <v>0</v>
      </c>
      <c r="AS25" s="4">
        <f>AI25-SUM(AL25:AQ25)</f>
        <v>0</v>
      </c>
      <c r="AT25" s="4">
        <f>AJ25+AK25</f>
        <v>0</v>
      </c>
      <c r="AU25" s="4"/>
      <c r="AV25" s="4">
        <f t="shared" si="22"/>
        <v>0</v>
      </c>
      <c r="AX25" s="4"/>
      <c r="AY25" s="4"/>
      <c r="AZ25" s="4">
        <f>+R25*(S25+T25)</f>
        <v>1200</v>
      </c>
      <c r="BA25" s="4"/>
      <c r="BB25" s="4">
        <f>+AC25*A25</f>
        <v>0</v>
      </c>
      <c r="BC25" s="4">
        <f t="shared" si="10"/>
        <v>1200</v>
      </c>
      <c r="BD25" s="4">
        <f>AI25+AU25+AT25+AY25+AZ25+BA25+BB25</f>
        <v>1200</v>
      </c>
      <c r="BG25" s="30" t="e">
        <f>(AV25+AY25+SUM(AL25:AQ25))/V25</f>
        <v>#DIV/0!</v>
      </c>
      <c r="BH25" s="30">
        <f>+(AZ25+BA25)/(S25+T25)</f>
        <v>80</v>
      </c>
    </row>
    <row r="26" spans="1:61" x14ac:dyDescent="0.3">
      <c r="A26">
        <v>10</v>
      </c>
      <c r="B26" s="6" t="s">
        <v>178</v>
      </c>
      <c r="C26" s="6">
        <v>71622939</v>
      </c>
      <c r="D26" s="6" t="s">
        <v>157</v>
      </c>
      <c r="E26" s="7">
        <v>36785</v>
      </c>
      <c r="F26" s="6"/>
      <c r="G26" s="6"/>
      <c r="H26" s="6"/>
      <c r="I26" s="6" t="s">
        <v>120</v>
      </c>
      <c r="J26" s="6" t="s">
        <v>170</v>
      </c>
      <c r="K26" s="23" t="s">
        <v>244</v>
      </c>
      <c r="L26" s="24">
        <v>46158</v>
      </c>
      <c r="M26" s="7">
        <v>46143</v>
      </c>
      <c r="N26" s="7">
        <v>46157</v>
      </c>
      <c r="O26" s="7" t="str">
        <f t="shared" si="5"/>
        <v>Mayo - 20265</v>
      </c>
      <c r="P26" s="8" t="s">
        <v>64</v>
      </c>
      <c r="Q26" s="4"/>
      <c r="R26" s="4">
        <v>105</v>
      </c>
      <c r="S26" s="8">
        <f>+COUNTIFS('BD Asistencia'!$E:$E,"A",'BD Asistencia'!$C:$C,'Planilla Mensual'!$D26,'BD Asistencia'!$D:$D,"&lt;"&amp;'Planilla Mensual'!L26)</f>
        <v>12</v>
      </c>
      <c r="T26" s="8">
        <f>+COUNTIFS('BD Asistencia'!$E:$E,"DR",'BD Asistencia'!$C:$C,'Planilla Mensual'!$D26,'BD Asistencia'!$D:$D,"&lt;"&amp;L26)</f>
        <v>1</v>
      </c>
      <c r="U26" s="8">
        <f>+COUNTIFS('BD Asistencia'!$H:$H,"NO REMUNERADO",'BD Asistencia'!$C:$C,'Planilla Mensual'!$D26,'BD Asistencia'!$D:$D,"&lt;"&amp;L26)</f>
        <v>2</v>
      </c>
      <c r="V26" s="8">
        <f>+COUNTIFS('BD Asistencia'!$E:$E,"A",'BD Asistencia'!$C:$C,'Planilla Mensual'!$D26,'BD Asistencia'!$D:$D,"&gt;="&amp;'Planilla Mensual'!M26,'BD Asistencia'!$D:$D,"&lt;="&amp;'Planilla Mensual'!N26)-S26</f>
        <v>0</v>
      </c>
      <c r="W26" s="8">
        <f>+COUNTIFS('BD Asistencia'!$E:$E,"DR",'BD Asistencia'!$C:$C,'Planilla Mensual'!$D26,'BD Asistencia'!$D:$D,"&gt;="&amp;'Planilla Mensual'!M26,'BD Asistencia'!$D:$D,"&lt;="&amp;'Planilla Mensual'!N26)-T26</f>
        <v>0</v>
      </c>
      <c r="X26" s="8">
        <f>+COUNTIFS('BD Asistencia'!$E:$E,"h",'BD Asistencia'!$C:$C,'Planilla Mensual'!$D26,'BD Asistencia'!$D:$D,"&gt;="&amp;'Planilla Mensual'!M26,'BD Asistencia'!$D:$D,"&lt;="&amp;'Planilla Mensual'!N26)</f>
        <v>0</v>
      </c>
      <c r="Y26" s="8">
        <f>+COUNTIFS('BD Asistencia'!$E:$E,"h/A",'BD Asistencia'!$C:$C,'Planilla Mensual'!$D26,'BD Asistencia'!$D:$D,"&gt;="&amp;'Planilla Mensual'!M26,'BD Asistencia'!$D:$D,"&lt;="&amp;'Planilla Mensual'!N26)</f>
        <v>0</v>
      </c>
      <c r="Z26" s="8">
        <f>+COUNTIFS('BD Asistencia'!$H:$H,"NO REMUNERADO",'BD Asistencia'!$C:$C,'Planilla Mensual'!$D26,'BD Asistencia'!$D:$D,"&gt;="&amp;'Planilla Mensual'!M26,'BD Asistencia'!$D:$D,"&lt;="&amp;'Planilla Mensual'!N26)-U26</f>
        <v>0</v>
      </c>
      <c r="AA26" s="8">
        <f>+COUNTIFS('BD Asistencia'!$E:$E,"F",'BD Asistencia'!$C:$C,'Planilla Mensual'!$D26,'BD Asistencia'!$D:$D,"&gt;="&amp;'Planilla Mensual'!M26,'BD Asistencia'!$D:$D,"&lt;="&amp;'Planilla Mensual'!N26)</f>
        <v>0</v>
      </c>
      <c r="AB26" s="8">
        <f t="shared" si="6"/>
        <v>15</v>
      </c>
      <c r="AC26" s="8">
        <v>4.5</v>
      </c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>
        <f>+SUM(AL26:AQ26)</f>
        <v>0</v>
      </c>
      <c r="AS26" s="4">
        <f>AI26-SUM(AL26:AQ26)</f>
        <v>0</v>
      </c>
      <c r="AT26" s="4">
        <f>AJ26+AK26</f>
        <v>0</v>
      </c>
      <c r="AU26" s="4"/>
      <c r="AV26" s="4">
        <f t="shared" si="22"/>
        <v>0</v>
      </c>
      <c r="AX26" s="4"/>
      <c r="AY26" s="4"/>
      <c r="AZ26" s="4">
        <f>+R26*S26</f>
        <v>1260</v>
      </c>
      <c r="BA26" s="4"/>
      <c r="BB26" s="4">
        <f>+AC26*A26</f>
        <v>45</v>
      </c>
      <c r="BC26" s="4">
        <f t="shared" si="10"/>
        <v>1305</v>
      </c>
      <c r="BD26" s="4">
        <f>AI26+AU26+AT26+AY26+AZ26+BA26+BB26</f>
        <v>1305</v>
      </c>
      <c r="BG26" s="30" t="e">
        <f>(AV26+AY26+SUM(AL26:AQ26))/V26</f>
        <v>#DIV/0!</v>
      </c>
      <c r="BH26" s="30">
        <f>+(AZ26+BA26)/(S26+T26)</f>
        <v>96.92307692307692</v>
      </c>
    </row>
    <row r="27" spans="1:61" x14ac:dyDescent="0.3">
      <c r="B27" s="6" t="s">
        <v>179</v>
      </c>
      <c r="C27" s="6">
        <v>74231869</v>
      </c>
      <c r="D27" s="6" t="s">
        <v>149</v>
      </c>
      <c r="E27" s="26">
        <v>35092</v>
      </c>
      <c r="F27" s="25"/>
      <c r="G27" s="25"/>
      <c r="H27" s="25"/>
      <c r="I27" s="25" t="s">
        <v>118</v>
      </c>
      <c r="J27" s="25"/>
      <c r="K27" s="25">
        <v>973497771</v>
      </c>
      <c r="L27" s="27">
        <v>46158</v>
      </c>
      <c r="M27" s="7">
        <v>46143</v>
      </c>
      <c r="N27" s="7">
        <v>46157</v>
      </c>
      <c r="O27" s="7" t="str">
        <f t="shared" si="5"/>
        <v>Mayo - 20265</v>
      </c>
      <c r="P27" s="8" t="s">
        <v>41</v>
      </c>
      <c r="Q27" s="4">
        <f>1425*2</f>
        <v>2850</v>
      </c>
      <c r="R27" s="4">
        <f>+Q27/30</f>
        <v>95</v>
      </c>
      <c r="S27" s="8">
        <f>+COUNTIFS('BD Asistencia'!$E:$E,"A",'BD Asistencia'!$C:$C,'Planilla Mensual'!$D27,'BD Asistencia'!$D:$D,"&lt;"&amp;'Planilla Mensual'!L27)</f>
        <v>13</v>
      </c>
      <c r="T27" s="8">
        <f>+COUNTIFS('BD Asistencia'!$E:$E,"DR",'BD Asistencia'!$C:$C,'Planilla Mensual'!$D27,'BD Asistencia'!$D:$D,"&lt;"&amp;L27)</f>
        <v>2</v>
      </c>
      <c r="U27" s="8">
        <f>+COUNTIFS('BD Asistencia'!$H:$H,"NO REMUNERADO",'BD Asistencia'!$C:$C,'Planilla Mensual'!$D27,'BD Asistencia'!$D:$D,"&lt;"&amp;L27)</f>
        <v>0</v>
      </c>
      <c r="V27" s="8">
        <f>+COUNTIFS('BD Asistencia'!$E:$E,"A",'BD Asistencia'!$C:$C,'Planilla Mensual'!$D27,'BD Asistencia'!$D:$D,"&gt;="&amp;'Planilla Mensual'!M27,'BD Asistencia'!$D:$D,"&lt;="&amp;'Planilla Mensual'!N27)-S27</f>
        <v>0</v>
      </c>
      <c r="W27" s="8">
        <f>+COUNTIFS('BD Asistencia'!$E:$E,"DR",'BD Asistencia'!$C:$C,'Planilla Mensual'!$D27,'BD Asistencia'!$D:$D,"&gt;="&amp;'Planilla Mensual'!M27,'BD Asistencia'!$D:$D,"&lt;="&amp;'Planilla Mensual'!N27)-T27</f>
        <v>0</v>
      </c>
      <c r="X27" s="8">
        <f>+COUNTIFS('BD Asistencia'!$E:$E,"h",'BD Asistencia'!$C:$C,'Planilla Mensual'!$D27,'BD Asistencia'!$D:$D,"&gt;="&amp;'Planilla Mensual'!M27,'BD Asistencia'!$D:$D,"&lt;="&amp;'Planilla Mensual'!N27)</f>
        <v>0</v>
      </c>
      <c r="Y27" s="8">
        <f>+COUNTIFS('BD Asistencia'!$E:$E,"h/A",'BD Asistencia'!$C:$C,'Planilla Mensual'!$D27,'BD Asistencia'!$D:$D,"&gt;="&amp;'Planilla Mensual'!M27,'BD Asistencia'!$D:$D,"&lt;="&amp;'Planilla Mensual'!N27)</f>
        <v>0</v>
      </c>
      <c r="Z27" s="8">
        <f>+COUNTIFS('BD Asistencia'!$H:$H,"NO REMUNERADO",'BD Asistencia'!$C:$C,'Planilla Mensual'!$D27,'BD Asistencia'!$D:$D,"&gt;="&amp;'Planilla Mensual'!M27,'BD Asistencia'!$D:$D,"&lt;="&amp;'Planilla Mensual'!N27)-U27</f>
        <v>0</v>
      </c>
      <c r="AA27" s="8">
        <f>+COUNTIFS('BD Asistencia'!$E:$E,"F",'BD Asistencia'!$C:$C,'Planilla Mensual'!$D27,'BD Asistencia'!$D:$D,"&gt;="&amp;'Planilla Mensual'!M27,'BD Asistencia'!$D:$D,"&lt;="&amp;'Planilla Mensual'!N27)</f>
        <v>0</v>
      </c>
      <c r="AB27" s="8">
        <f t="shared" si="6"/>
        <v>15</v>
      </c>
      <c r="AC27" s="8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>
        <v>150</v>
      </c>
      <c r="AQ27" s="4"/>
      <c r="AR27" s="4">
        <f>+SUM(AL27:AQ27)</f>
        <v>150</v>
      </c>
      <c r="AS27" s="4">
        <f>AI27-SUM(AL27:AQ27)</f>
        <v>-150</v>
      </c>
      <c r="AT27" s="4">
        <f>AJ27+AK27</f>
        <v>0</v>
      </c>
      <c r="AU27" s="4"/>
      <c r="AV27" s="4">
        <f t="shared" si="22"/>
        <v>-150</v>
      </c>
      <c r="AX27" s="4"/>
      <c r="AY27" s="4"/>
      <c r="AZ27" s="4">
        <f>+R27*(S27+T27)</f>
        <v>1425</v>
      </c>
      <c r="BA27" s="4"/>
      <c r="BB27" s="4"/>
      <c r="BC27" s="4">
        <f t="shared" si="10"/>
        <v>1275</v>
      </c>
      <c r="BD27" s="4">
        <f>AI27+AU27+AT27+AY27+AZ27+BA27+BB27</f>
        <v>1425</v>
      </c>
      <c r="BG27" s="30" t="e">
        <f>(AV27+AY27+SUM(AL27:AQ27))/V27</f>
        <v>#DIV/0!</v>
      </c>
      <c r="BH27" s="30">
        <f>+(AZ27+BA27)/(S27+T27)</f>
        <v>95</v>
      </c>
    </row>
    <row r="28" spans="1:61" x14ac:dyDescent="0.3">
      <c r="B28" s="6" t="s">
        <v>179</v>
      </c>
      <c r="C28" s="6">
        <v>47738777</v>
      </c>
      <c r="D28" s="6" t="s">
        <v>78</v>
      </c>
      <c r="E28" s="7">
        <v>34092</v>
      </c>
      <c r="F28" s="6"/>
      <c r="G28" s="6"/>
      <c r="H28" s="6"/>
      <c r="I28" s="6" t="s">
        <v>118</v>
      </c>
      <c r="J28" s="6" t="s">
        <v>171</v>
      </c>
      <c r="K28" s="6"/>
      <c r="L28" s="24">
        <v>46158</v>
      </c>
      <c r="M28" s="7">
        <v>46143</v>
      </c>
      <c r="N28" s="7">
        <v>46157</v>
      </c>
      <c r="O28" s="7" t="str">
        <f t="shared" si="5"/>
        <v>Mayo - 20265</v>
      </c>
      <c r="P28" s="8" t="s">
        <v>41</v>
      </c>
      <c r="Q28" s="4">
        <v>3000</v>
      </c>
      <c r="R28" s="4">
        <f t="shared" ref="R28:R36" si="23">+Q28/30</f>
        <v>100</v>
      </c>
      <c r="S28" s="8">
        <f>+COUNTIFS('BD Asistencia'!$E:$E,"A",'BD Asistencia'!$C:$C,'Planilla Mensual'!$D28,'BD Asistencia'!$D:$D,"&lt;"&amp;'Planilla Mensual'!L28)</f>
        <v>14</v>
      </c>
      <c r="T28" s="8">
        <f>+COUNTIFS('BD Asistencia'!$E:$E,"DR",'BD Asistencia'!$C:$C,'Planilla Mensual'!$D28,'BD Asistencia'!$D:$D,"&lt;"&amp;L28)</f>
        <v>1</v>
      </c>
      <c r="U28" s="8">
        <f>+COUNTIFS('BD Asistencia'!$H:$H,"NO REMUNERADO",'BD Asistencia'!$C:$C,'Planilla Mensual'!$D28,'BD Asistencia'!$D:$D,"&lt;"&amp;L28)</f>
        <v>0</v>
      </c>
      <c r="V28" s="8">
        <f>+COUNTIFS('BD Asistencia'!$E:$E,"A",'BD Asistencia'!$C:$C,'Planilla Mensual'!$D28,'BD Asistencia'!$D:$D,"&gt;="&amp;'Planilla Mensual'!M28,'BD Asistencia'!$D:$D,"&lt;="&amp;'Planilla Mensual'!N28)-S28</f>
        <v>0</v>
      </c>
      <c r="W28" s="8">
        <f>+COUNTIFS('BD Asistencia'!$E:$E,"DR",'BD Asistencia'!$C:$C,'Planilla Mensual'!$D28,'BD Asistencia'!$D:$D,"&gt;="&amp;'Planilla Mensual'!M28,'BD Asistencia'!$D:$D,"&lt;="&amp;'Planilla Mensual'!N28)-T28</f>
        <v>0</v>
      </c>
      <c r="X28" s="8">
        <f>+COUNTIFS('BD Asistencia'!$E:$E,"h",'BD Asistencia'!$C:$C,'Planilla Mensual'!$D28,'BD Asistencia'!$D:$D,"&gt;="&amp;'Planilla Mensual'!M28,'BD Asistencia'!$D:$D,"&lt;="&amp;'Planilla Mensual'!N28)</f>
        <v>0</v>
      </c>
      <c r="Y28" s="8">
        <f>+COUNTIFS('BD Asistencia'!$E:$E,"h/A",'BD Asistencia'!$C:$C,'Planilla Mensual'!$D28,'BD Asistencia'!$D:$D,"&gt;="&amp;'Planilla Mensual'!M28,'BD Asistencia'!$D:$D,"&lt;="&amp;'Planilla Mensual'!N28)</f>
        <v>0</v>
      </c>
      <c r="Z28" s="8">
        <f>+COUNTIFS('BD Asistencia'!$H:$H,"NO REMUNERADO",'BD Asistencia'!$C:$C,'Planilla Mensual'!$D28,'BD Asistencia'!$D:$D,"&gt;="&amp;'Planilla Mensual'!M28,'BD Asistencia'!$D:$D,"&lt;="&amp;'Planilla Mensual'!N28)-U28</f>
        <v>0</v>
      </c>
      <c r="AA28" s="8">
        <f>+COUNTIFS('BD Asistencia'!$E:$E,"F",'BD Asistencia'!$C:$C,'Planilla Mensual'!$D28,'BD Asistencia'!$D:$D,"&gt;="&amp;'Planilla Mensual'!M28,'BD Asistencia'!$D:$D,"&lt;="&amp;'Planilla Mensual'!N28)</f>
        <v>0</v>
      </c>
      <c r="AB28" s="8">
        <f t="shared" si="6"/>
        <v>15</v>
      </c>
      <c r="AC28" s="8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>
        <f>+SUM(AL28:AQ28)</f>
        <v>0</v>
      </c>
      <c r="AS28" s="4">
        <f>AI28-SUM(AL28:AQ28)</f>
        <v>0</v>
      </c>
      <c r="AT28" s="4">
        <f>AJ28+AK28</f>
        <v>0</v>
      </c>
      <c r="AU28" s="4"/>
      <c r="AV28" s="4">
        <f t="shared" si="22"/>
        <v>0</v>
      </c>
      <c r="AX28" s="4"/>
      <c r="AY28" s="4"/>
      <c r="AZ28" s="4">
        <f>+R28*(S28+T28)</f>
        <v>1500</v>
      </c>
      <c r="BA28" s="4"/>
      <c r="BB28" s="4"/>
      <c r="BC28" s="4">
        <f t="shared" si="10"/>
        <v>1500</v>
      </c>
      <c r="BD28" s="4">
        <f>AI28+AU28+AT28+AY28+AZ28+BA28+BB28</f>
        <v>1500</v>
      </c>
      <c r="BG28" s="30" t="e">
        <f>(AV28+AY28+SUM(AL28:AQ28))/V28</f>
        <v>#DIV/0!</v>
      </c>
      <c r="BH28" s="30">
        <f>+(AZ28+BA28)/(S28+T28)</f>
        <v>100</v>
      </c>
    </row>
    <row r="29" spans="1:61" x14ac:dyDescent="0.3">
      <c r="B29" s="6" t="s">
        <v>179</v>
      </c>
      <c r="C29" s="6">
        <v>42633744</v>
      </c>
      <c r="D29" s="6" t="s">
        <v>148</v>
      </c>
      <c r="E29" s="7">
        <v>29117</v>
      </c>
      <c r="F29" s="6"/>
      <c r="G29" s="6"/>
      <c r="H29" s="6"/>
      <c r="I29" s="6" t="s">
        <v>118</v>
      </c>
      <c r="J29" s="6" t="s">
        <v>172</v>
      </c>
      <c r="K29" s="6"/>
      <c r="L29" s="24">
        <v>46158</v>
      </c>
      <c r="M29" s="7">
        <v>46143</v>
      </c>
      <c r="N29" s="7">
        <v>46157</v>
      </c>
      <c r="O29" s="7" t="str">
        <f t="shared" si="5"/>
        <v>Mayo - 20265</v>
      </c>
      <c r="P29" s="8"/>
      <c r="Q29" s="4">
        <v>3000</v>
      </c>
      <c r="R29" s="4">
        <f t="shared" si="23"/>
        <v>100</v>
      </c>
      <c r="S29" s="8">
        <f>+COUNTIFS('BD Asistencia'!$E:$E,"A",'BD Asistencia'!$C:$C,'Planilla Mensual'!$D29,'BD Asistencia'!$D:$D,"&lt;"&amp;'Planilla Mensual'!L29)</f>
        <v>14</v>
      </c>
      <c r="T29" s="8">
        <f>+COUNTIFS('BD Asistencia'!$E:$E,"DR",'BD Asistencia'!$C:$C,'Planilla Mensual'!$D29,'BD Asistencia'!$D:$D,"&lt;"&amp;L29)</f>
        <v>1</v>
      </c>
      <c r="U29" s="8">
        <f>+COUNTIFS('BD Asistencia'!$H:$H,"NO REMUNERADO",'BD Asistencia'!$C:$C,'Planilla Mensual'!$D29,'BD Asistencia'!$D:$D,"&lt;"&amp;L29)</f>
        <v>0</v>
      </c>
      <c r="V29" s="8">
        <f>+COUNTIFS('BD Asistencia'!$E:$E,"A",'BD Asistencia'!$C:$C,'Planilla Mensual'!$D29,'BD Asistencia'!$D:$D,"&gt;="&amp;'Planilla Mensual'!M29,'BD Asistencia'!$D:$D,"&lt;="&amp;'Planilla Mensual'!N29)-S29</f>
        <v>0</v>
      </c>
      <c r="W29" s="8">
        <f>+COUNTIFS('BD Asistencia'!$E:$E,"DR",'BD Asistencia'!$C:$C,'Planilla Mensual'!$D29,'BD Asistencia'!$D:$D,"&gt;="&amp;'Planilla Mensual'!M29,'BD Asistencia'!$D:$D,"&lt;="&amp;'Planilla Mensual'!N29)-T29</f>
        <v>0</v>
      </c>
      <c r="X29" s="8">
        <f>+COUNTIFS('BD Asistencia'!$E:$E,"h",'BD Asistencia'!$C:$C,'Planilla Mensual'!$D29,'BD Asistencia'!$D:$D,"&gt;="&amp;'Planilla Mensual'!M29,'BD Asistencia'!$D:$D,"&lt;="&amp;'Planilla Mensual'!N29)</f>
        <v>0</v>
      </c>
      <c r="Y29" s="8">
        <f>+COUNTIFS('BD Asistencia'!$E:$E,"h/A",'BD Asistencia'!$C:$C,'Planilla Mensual'!$D29,'BD Asistencia'!$D:$D,"&gt;="&amp;'Planilla Mensual'!M29,'BD Asistencia'!$D:$D,"&lt;="&amp;'Planilla Mensual'!N29)</f>
        <v>0</v>
      </c>
      <c r="Z29" s="8">
        <f>+COUNTIFS('BD Asistencia'!$H:$H,"NO REMUNERADO",'BD Asistencia'!$C:$C,'Planilla Mensual'!$D29,'BD Asistencia'!$D:$D,"&gt;="&amp;'Planilla Mensual'!M29,'BD Asistencia'!$D:$D,"&lt;="&amp;'Planilla Mensual'!N29)-U29</f>
        <v>0</v>
      </c>
      <c r="AA29" s="8">
        <f>+COUNTIFS('BD Asistencia'!$E:$E,"F",'BD Asistencia'!$C:$C,'Planilla Mensual'!$D29,'BD Asistencia'!$D:$D,"&gt;="&amp;'Planilla Mensual'!M29,'BD Asistencia'!$D:$D,"&lt;="&amp;'Planilla Mensual'!N29)</f>
        <v>0</v>
      </c>
      <c r="AB29" s="8">
        <f t="shared" si="6"/>
        <v>15</v>
      </c>
      <c r="AC29" s="8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>
        <f>+SUM(AL29:AQ29)</f>
        <v>0</v>
      </c>
      <c r="AS29" s="4">
        <f>AI29-SUM(AL29:AQ29)</f>
        <v>0</v>
      </c>
      <c r="AT29" s="4">
        <f>AJ29+AK29</f>
        <v>0</v>
      </c>
      <c r="AU29" s="4"/>
      <c r="AV29" s="4">
        <f t="shared" si="22"/>
        <v>0</v>
      </c>
      <c r="AX29" s="4"/>
      <c r="AY29" s="4"/>
      <c r="AZ29" s="4">
        <f>+R29*(S29+T29)</f>
        <v>1500</v>
      </c>
      <c r="BA29" s="4"/>
      <c r="BB29" s="4"/>
      <c r="BC29" s="4">
        <f t="shared" si="10"/>
        <v>1500</v>
      </c>
      <c r="BD29" s="4">
        <f>AI29+AU29+AT29+AY29+AZ29+BA29+BB29</f>
        <v>1500</v>
      </c>
      <c r="BG29" s="30" t="e">
        <f>(AV29+AY29+SUM(AL29:AQ29))/V29</f>
        <v>#DIV/0!</v>
      </c>
      <c r="BH29" s="30">
        <f>+(AZ29+BA29)/(S29+T29)</f>
        <v>100</v>
      </c>
    </row>
    <row r="30" spans="1:61" x14ac:dyDescent="0.3">
      <c r="B30" s="6" t="s">
        <v>179</v>
      </c>
      <c r="C30" s="6" t="s">
        <v>180</v>
      </c>
      <c r="D30" s="6" t="s">
        <v>147</v>
      </c>
      <c r="E30" s="26">
        <v>25868</v>
      </c>
      <c r="F30" s="25"/>
      <c r="G30" s="25"/>
      <c r="H30" s="25"/>
      <c r="I30" s="25" t="s">
        <v>118</v>
      </c>
      <c r="J30" s="25" t="s">
        <v>173</v>
      </c>
      <c r="K30" s="25"/>
      <c r="L30" s="27">
        <v>46158</v>
      </c>
      <c r="M30" s="7">
        <v>46143</v>
      </c>
      <c r="N30" s="7">
        <v>46157</v>
      </c>
      <c r="O30" s="7" t="str">
        <f t="shared" si="5"/>
        <v>Mayo - 20265</v>
      </c>
      <c r="P30" s="8" t="s">
        <v>64</v>
      </c>
      <c r="Q30" s="4">
        <v>2500</v>
      </c>
      <c r="R30" s="4">
        <f t="shared" si="23"/>
        <v>83.333333333333329</v>
      </c>
      <c r="S30" s="8">
        <f>+COUNTIFS('BD Asistencia'!$E:$E,"A",'BD Asistencia'!$C:$C,'Planilla Mensual'!$D30,'BD Asistencia'!$D:$D,"&lt;"&amp;'Planilla Mensual'!L30)</f>
        <v>14</v>
      </c>
      <c r="T30" s="8">
        <f>+COUNTIFS('BD Asistencia'!$E:$E,"DR",'BD Asistencia'!$C:$C,'Planilla Mensual'!$D30,'BD Asistencia'!$D:$D,"&lt;"&amp;L30)</f>
        <v>1</v>
      </c>
      <c r="U30" s="8">
        <f>+COUNTIFS('BD Asistencia'!$H:$H,"NO REMUNERADO",'BD Asistencia'!$C:$C,'Planilla Mensual'!$D30,'BD Asistencia'!$D:$D,"&lt;"&amp;L30)</f>
        <v>0</v>
      </c>
      <c r="V30" s="8">
        <f>+COUNTIFS('BD Asistencia'!$E:$E,"A",'BD Asistencia'!$C:$C,'Planilla Mensual'!$D30,'BD Asistencia'!$D:$D,"&gt;="&amp;'Planilla Mensual'!M30,'BD Asistencia'!$D:$D,"&lt;="&amp;'Planilla Mensual'!N30)-S30</f>
        <v>0</v>
      </c>
      <c r="W30" s="8">
        <f>+COUNTIFS('BD Asistencia'!$E:$E,"DR",'BD Asistencia'!$C:$C,'Planilla Mensual'!$D30,'BD Asistencia'!$D:$D,"&gt;="&amp;'Planilla Mensual'!M30,'BD Asistencia'!$D:$D,"&lt;="&amp;'Planilla Mensual'!N30)-T30</f>
        <v>0</v>
      </c>
      <c r="X30" s="8">
        <f>+COUNTIFS('BD Asistencia'!$E:$E,"h",'BD Asistencia'!$C:$C,'Planilla Mensual'!$D30,'BD Asistencia'!$D:$D,"&gt;="&amp;'Planilla Mensual'!M30,'BD Asistencia'!$D:$D,"&lt;="&amp;'Planilla Mensual'!N30)</f>
        <v>0</v>
      </c>
      <c r="Y30" s="8">
        <f>+COUNTIFS('BD Asistencia'!$E:$E,"h/A",'BD Asistencia'!$C:$C,'Planilla Mensual'!$D30,'BD Asistencia'!$D:$D,"&gt;="&amp;'Planilla Mensual'!M30,'BD Asistencia'!$D:$D,"&lt;="&amp;'Planilla Mensual'!N30)</f>
        <v>0</v>
      </c>
      <c r="Z30" s="8">
        <f>+COUNTIFS('BD Asistencia'!$H:$H,"NO REMUNERADO",'BD Asistencia'!$C:$C,'Planilla Mensual'!$D30,'BD Asistencia'!$D:$D,"&gt;="&amp;'Planilla Mensual'!M30,'BD Asistencia'!$D:$D,"&lt;="&amp;'Planilla Mensual'!N30)-U30</f>
        <v>0</v>
      </c>
      <c r="AA30" s="8">
        <f>+COUNTIFS('BD Asistencia'!$E:$E,"F",'BD Asistencia'!$C:$C,'Planilla Mensual'!$D30,'BD Asistencia'!$D:$D,"&gt;="&amp;'Planilla Mensual'!M30,'BD Asistencia'!$D:$D,"&lt;="&amp;'Planilla Mensual'!N30)</f>
        <v>0</v>
      </c>
      <c r="AB30" s="8">
        <f t="shared" si="6"/>
        <v>15</v>
      </c>
      <c r="AC30" s="8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>
        <f>+SUM(AL30:AQ30)</f>
        <v>0</v>
      </c>
      <c r="AS30" s="4">
        <f>AI30-SUM(AL30:AQ30)</f>
        <v>0</v>
      </c>
      <c r="AT30" s="4">
        <f>AJ30+AK30</f>
        <v>0</v>
      </c>
      <c r="AU30" s="4"/>
      <c r="AV30" s="4">
        <f t="shared" si="22"/>
        <v>0</v>
      </c>
      <c r="AX30" s="4"/>
      <c r="AY30" s="4"/>
      <c r="AZ30" s="4">
        <f>+R30*(S30+T30)</f>
        <v>1250</v>
      </c>
      <c r="BA30" s="4"/>
      <c r="BB30" s="4"/>
      <c r="BC30" s="4">
        <f t="shared" si="10"/>
        <v>1250</v>
      </c>
      <c r="BD30" s="4">
        <f>AI30+AU30+AT30+AY30+AZ30+BA30+BB30</f>
        <v>1250</v>
      </c>
      <c r="BG30" s="30" t="e">
        <f>(AV30+AY30+SUM(AL30:AQ30))/V30</f>
        <v>#DIV/0!</v>
      </c>
      <c r="BH30" s="30">
        <f>+(AZ30+BA30)/(S30+T30)</f>
        <v>83.333333333333329</v>
      </c>
    </row>
    <row r="31" spans="1:61" x14ac:dyDescent="0.3">
      <c r="B31" s="6" t="s">
        <v>179</v>
      </c>
      <c r="C31" s="6">
        <v>72904798</v>
      </c>
      <c r="D31" s="6" t="s">
        <v>159</v>
      </c>
      <c r="E31" s="7">
        <v>38290</v>
      </c>
      <c r="F31" s="6"/>
      <c r="G31" s="6"/>
      <c r="H31" s="6"/>
      <c r="I31" s="6" t="s">
        <v>118</v>
      </c>
      <c r="J31" s="6" t="s">
        <v>174</v>
      </c>
      <c r="K31" s="6"/>
      <c r="L31" s="24">
        <v>46158</v>
      </c>
      <c r="M31" s="7">
        <v>46143</v>
      </c>
      <c r="N31" s="7">
        <v>46157</v>
      </c>
      <c r="O31" s="7" t="str">
        <f t="shared" si="5"/>
        <v>Mayo - 20265</v>
      </c>
      <c r="P31" s="8" t="s">
        <v>64</v>
      </c>
      <c r="Q31" s="4">
        <v>1200</v>
      </c>
      <c r="R31" s="4">
        <f t="shared" si="23"/>
        <v>40</v>
      </c>
      <c r="S31" s="8">
        <v>13</v>
      </c>
      <c r="T31" s="8">
        <v>2</v>
      </c>
      <c r="U31" s="8">
        <f>+COUNTIFS('BD Asistencia'!$H:$H,"NO REMUNERADO",'BD Asistencia'!$C:$C,'Planilla Mensual'!$D31,'BD Asistencia'!$D:$D,"&lt;"&amp;L31)</f>
        <v>0</v>
      </c>
      <c r="V31" s="8">
        <v>0</v>
      </c>
      <c r="W31" s="8">
        <v>0</v>
      </c>
      <c r="X31" s="8">
        <f>+COUNTIFS('BD Asistencia'!$E:$E,"h",'BD Asistencia'!$C:$C,'Planilla Mensual'!$D31,'BD Asistencia'!$D:$D,"&gt;="&amp;'Planilla Mensual'!M31,'BD Asistencia'!$D:$D,"&lt;="&amp;'Planilla Mensual'!N31)</f>
        <v>0</v>
      </c>
      <c r="Y31" s="8">
        <f>+COUNTIFS('BD Asistencia'!$E:$E,"h/A",'BD Asistencia'!$C:$C,'Planilla Mensual'!$D31,'BD Asistencia'!$D:$D,"&gt;="&amp;'Planilla Mensual'!M31,'BD Asistencia'!$D:$D,"&lt;="&amp;'Planilla Mensual'!N31)</f>
        <v>0</v>
      </c>
      <c r="Z31" s="8">
        <f>+COUNTIFS('BD Asistencia'!$H:$H,"NO REMUNERADO",'BD Asistencia'!$C:$C,'Planilla Mensual'!$D31,'BD Asistencia'!$D:$D,"&gt;="&amp;'Planilla Mensual'!M31,'BD Asistencia'!$D:$D,"&lt;="&amp;'Planilla Mensual'!N31)-U31</f>
        <v>0</v>
      </c>
      <c r="AA31" s="8">
        <f>+COUNTIFS('BD Asistencia'!$E:$E,"F",'BD Asistencia'!$C:$C,'Planilla Mensual'!$D31,'BD Asistencia'!$D:$D,"&gt;="&amp;'Planilla Mensual'!M31,'BD Asistencia'!$D:$D,"&lt;="&amp;'Planilla Mensual'!N31)</f>
        <v>0</v>
      </c>
      <c r="AB31" s="8">
        <f t="shared" si="6"/>
        <v>15</v>
      </c>
      <c r="AC31" s="8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>
        <f>+SUM(AL31:AQ31)</f>
        <v>0</v>
      </c>
      <c r="AS31" s="4">
        <f>AI31-SUM(AL31:AQ31)</f>
        <v>0</v>
      </c>
      <c r="AT31" s="4">
        <f>AJ31+AK31</f>
        <v>0</v>
      </c>
      <c r="AU31" s="4"/>
      <c r="AV31" s="4">
        <f t="shared" si="22"/>
        <v>0</v>
      </c>
      <c r="AX31" s="4"/>
      <c r="AY31" s="4"/>
      <c r="AZ31" s="4">
        <f>+R31*(S31+T31)</f>
        <v>600</v>
      </c>
      <c r="BA31" s="4"/>
      <c r="BB31" s="4"/>
      <c r="BC31" s="4">
        <f t="shared" si="10"/>
        <v>600</v>
      </c>
      <c r="BD31" s="4">
        <f>AI31+AU31+AT31+AY31+AZ31+BA31+BB31</f>
        <v>600</v>
      </c>
      <c r="BG31" s="30" t="e">
        <f>(AV31+AY31+SUM(AL31:AQ31))/V31</f>
        <v>#DIV/0!</v>
      </c>
      <c r="BH31" s="30">
        <f>+(AZ31+BA31)/(S31+T31)</f>
        <v>40</v>
      </c>
    </row>
    <row r="32" spans="1:61" x14ac:dyDescent="0.3">
      <c r="B32" s="6" t="s">
        <v>179</v>
      </c>
      <c r="C32" s="6">
        <v>73984945</v>
      </c>
      <c r="D32" s="6" t="s">
        <v>74</v>
      </c>
      <c r="E32" s="26">
        <v>38268</v>
      </c>
      <c r="F32" s="25"/>
      <c r="G32" s="25"/>
      <c r="H32" s="25"/>
      <c r="I32" s="25"/>
      <c r="J32" s="25"/>
      <c r="K32" s="25">
        <v>936698467</v>
      </c>
      <c r="L32" s="27">
        <v>46158</v>
      </c>
      <c r="M32" s="7">
        <v>46143</v>
      </c>
      <c r="N32" s="7">
        <v>46157</v>
      </c>
      <c r="O32" s="7" t="str">
        <f t="shared" si="5"/>
        <v>Mayo - 20265</v>
      </c>
      <c r="P32" s="8" t="s">
        <v>64</v>
      </c>
      <c r="Q32" s="4">
        <v>1200</v>
      </c>
      <c r="R32" s="4">
        <f t="shared" si="23"/>
        <v>40</v>
      </c>
      <c r="S32" s="8">
        <f>+COUNTIFS('BD Asistencia'!$E:$E,"A",'BD Asistencia'!$C:$C,'Planilla Mensual'!$D32,'BD Asistencia'!$D:$D,"&lt;"&amp;'Planilla Mensual'!L32)</f>
        <v>4</v>
      </c>
      <c r="T32" s="8">
        <f>+COUNTIFS('BD Asistencia'!$E:$E,"DR",'BD Asistencia'!$C:$C,'Planilla Mensual'!$D32,'BD Asistencia'!$D:$D,"&lt;"&amp;L32)</f>
        <v>0</v>
      </c>
      <c r="U32" s="8">
        <f>+COUNTIFS('BD Asistencia'!$H:$H,"NO REMUNERADO",'BD Asistencia'!$C:$C,'Planilla Mensual'!$D32,'BD Asistencia'!$D:$D,"&lt;"&amp;L32)</f>
        <v>11</v>
      </c>
      <c r="V32" s="8">
        <f>+COUNTIFS('BD Asistencia'!$E:$E,"A",'BD Asistencia'!$C:$C,'Planilla Mensual'!$D32,'BD Asistencia'!$D:$D,"&gt;="&amp;'Planilla Mensual'!M32,'BD Asistencia'!$D:$D,"&lt;="&amp;'Planilla Mensual'!N32)-S32</f>
        <v>0</v>
      </c>
      <c r="W32" s="8">
        <f>+COUNTIFS('BD Asistencia'!$E:$E,"DR",'BD Asistencia'!$C:$C,'Planilla Mensual'!$D32,'BD Asistencia'!$D:$D,"&gt;="&amp;'Planilla Mensual'!M32,'BD Asistencia'!$D:$D,"&lt;="&amp;'Planilla Mensual'!N32)-T32</f>
        <v>0</v>
      </c>
      <c r="X32" s="8">
        <f>+COUNTIFS('BD Asistencia'!$E:$E,"h",'BD Asistencia'!$C:$C,'Planilla Mensual'!$D32,'BD Asistencia'!$D:$D,"&gt;="&amp;'Planilla Mensual'!M32,'BD Asistencia'!$D:$D,"&lt;="&amp;'Planilla Mensual'!N32)</f>
        <v>0</v>
      </c>
      <c r="Y32" s="8">
        <f>+COUNTIFS('BD Asistencia'!$E:$E,"h/A",'BD Asistencia'!$C:$C,'Planilla Mensual'!$D32,'BD Asistencia'!$D:$D,"&gt;="&amp;'Planilla Mensual'!M32,'BD Asistencia'!$D:$D,"&lt;="&amp;'Planilla Mensual'!N32)</f>
        <v>0</v>
      </c>
      <c r="Z32" s="8">
        <f>+COUNTIFS('BD Asistencia'!$H:$H,"NO REMUNERADO",'BD Asistencia'!$C:$C,'Planilla Mensual'!$D32,'BD Asistencia'!$D:$D,"&gt;="&amp;'Planilla Mensual'!M32,'BD Asistencia'!$D:$D,"&lt;="&amp;'Planilla Mensual'!N32)-U32</f>
        <v>0</v>
      </c>
      <c r="AA32" s="8">
        <f>+COUNTIFS('BD Asistencia'!$E:$E,"F",'BD Asistencia'!$C:$C,'Planilla Mensual'!$D32,'BD Asistencia'!$D:$D,"&gt;="&amp;'Planilla Mensual'!M32,'BD Asistencia'!$D:$D,"&lt;="&amp;'Planilla Mensual'!N32)</f>
        <v>0</v>
      </c>
      <c r="AB32" s="8">
        <f t="shared" si="6"/>
        <v>15</v>
      </c>
      <c r="AC32" s="8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>
        <f>+SUM(AL32:AQ32)</f>
        <v>0</v>
      </c>
      <c r="AS32" s="4">
        <f>AI32-SUM(AL32:AQ32)</f>
        <v>0</v>
      </c>
      <c r="AT32" s="4">
        <f>AJ32+AK32</f>
        <v>0</v>
      </c>
      <c r="AU32" s="4"/>
      <c r="AV32" s="4">
        <f t="shared" si="22"/>
        <v>0</v>
      </c>
      <c r="AX32" s="4"/>
      <c r="AY32" s="4"/>
      <c r="AZ32" s="4">
        <f>+R32*(S32+T32)</f>
        <v>160</v>
      </c>
      <c r="BA32" s="4"/>
      <c r="BB32" s="4"/>
      <c r="BC32" s="4">
        <f t="shared" si="10"/>
        <v>160</v>
      </c>
      <c r="BD32" s="4">
        <f>AI32+AU32+AT32+AY32+AZ32+BA32+BB32</f>
        <v>160</v>
      </c>
      <c r="BG32" s="30" t="e">
        <f>(AV32+AY32+SUM(AL32:AQ32))/V32</f>
        <v>#DIV/0!</v>
      </c>
      <c r="BH32" s="30">
        <f>+(AZ32+BA32)/(S32+T32)</f>
        <v>40</v>
      </c>
    </row>
    <row r="33" spans="2:60" x14ac:dyDescent="0.3">
      <c r="B33" s="6" t="s">
        <v>179</v>
      </c>
      <c r="C33" s="6"/>
      <c r="D33" s="6" t="s">
        <v>160</v>
      </c>
      <c r="E33" s="26"/>
      <c r="F33" s="25"/>
      <c r="G33" s="25"/>
      <c r="H33" s="25"/>
      <c r="I33" s="25"/>
      <c r="J33" s="25"/>
      <c r="K33" s="25">
        <v>936528185</v>
      </c>
      <c r="L33" s="27">
        <v>46158</v>
      </c>
      <c r="M33" s="7">
        <v>46143</v>
      </c>
      <c r="N33" s="7">
        <v>46157</v>
      </c>
      <c r="O33" s="7" t="str">
        <f t="shared" si="5"/>
        <v>Mayo - 20265</v>
      </c>
      <c r="P33" s="8" t="s">
        <v>64</v>
      </c>
      <c r="Q33" s="4">
        <v>1200</v>
      </c>
      <c r="R33" s="4">
        <f t="shared" si="23"/>
        <v>40</v>
      </c>
      <c r="S33" s="8">
        <v>13</v>
      </c>
      <c r="T33" s="8">
        <v>2</v>
      </c>
      <c r="U33" s="8">
        <f>+COUNTIFS('BD Asistencia'!$H:$H,"NO REMUNERADO",'BD Asistencia'!$C:$C,'Planilla Mensual'!$D33,'BD Asistencia'!$D:$D,"&lt;"&amp;L33)</f>
        <v>0</v>
      </c>
      <c r="V33" s="8">
        <v>0</v>
      </c>
      <c r="W33" s="8">
        <v>0</v>
      </c>
      <c r="X33" s="8">
        <f>+COUNTIFS('BD Asistencia'!$E:$E,"h",'BD Asistencia'!$C:$C,'Planilla Mensual'!$D33,'BD Asistencia'!$D:$D,"&gt;="&amp;'Planilla Mensual'!M33,'BD Asistencia'!$D:$D,"&lt;="&amp;'Planilla Mensual'!N33)</f>
        <v>0</v>
      </c>
      <c r="Y33" s="8">
        <f>+COUNTIFS('BD Asistencia'!$E:$E,"h/A",'BD Asistencia'!$C:$C,'Planilla Mensual'!$D33,'BD Asistencia'!$D:$D,"&gt;="&amp;'Planilla Mensual'!M33,'BD Asistencia'!$D:$D,"&lt;="&amp;'Planilla Mensual'!N33)</f>
        <v>0</v>
      </c>
      <c r="Z33" s="8">
        <f>+COUNTIFS('BD Asistencia'!$H:$H,"NO REMUNERADO",'BD Asistencia'!$C:$C,'Planilla Mensual'!$D33,'BD Asistencia'!$D:$D,"&gt;="&amp;'Planilla Mensual'!M33,'BD Asistencia'!$D:$D,"&lt;="&amp;'Planilla Mensual'!N33)-U33</f>
        <v>0</v>
      </c>
      <c r="AA33" s="8">
        <f>+COUNTIFS('BD Asistencia'!$E:$E,"F",'BD Asistencia'!$C:$C,'Planilla Mensual'!$D33,'BD Asistencia'!$D:$D,"&gt;="&amp;'Planilla Mensual'!M33,'BD Asistencia'!$D:$D,"&lt;="&amp;'Planilla Mensual'!N33)</f>
        <v>0</v>
      </c>
      <c r="AB33" s="8">
        <f t="shared" si="6"/>
        <v>15</v>
      </c>
      <c r="AC33" s="8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>
        <f>+SUM(AL33:AQ33)</f>
        <v>0</v>
      </c>
      <c r="AS33" s="4">
        <f>AI33-SUM(AL33:AQ33)</f>
        <v>0</v>
      </c>
      <c r="AT33" s="4">
        <f>AJ33+AK33</f>
        <v>0</v>
      </c>
      <c r="AU33" s="4"/>
      <c r="AV33" s="4">
        <f t="shared" si="22"/>
        <v>0</v>
      </c>
      <c r="AX33" s="4"/>
      <c r="AY33" s="4"/>
      <c r="AZ33" s="4">
        <f>+R33*(S33+T33)</f>
        <v>600</v>
      </c>
      <c r="BA33" s="4"/>
      <c r="BB33" s="4"/>
      <c r="BC33" s="4">
        <f t="shared" si="10"/>
        <v>600</v>
      </c>
      <c r="BD33" s="4">
        <f>AI33+AU33+AT33+AY33+AZ33+BA33+BB33</f>
        <v>600</v>
      </c>
      <c r="BG33" s="30" t="e">
        <f>(AV33+AY33+SUM(AL33:AQ33))/V33</f>
        <v>#DIV/0!</v>
      </c>
      <c r="BH33" s="30">
        <f>+(AZ33+BA33)/(S33+T33)</f>
        <v>40</v>
      </c>
    </row>
    <row r="34" spans="2:60" x14ac:dyDescent="0.3">
      <c r="B34" s="6" t="s">
        <v>179</v>
      </c>
      <c r="C34" s="6">
        <v>74209005</v>
      </c>
      <c r="D34" s="6" t="s">
        <v>161</v>
      </c>
      <c r="E34" s="7">
        <v>34562</v>
      </c>
      <c r="F34" s="6"/>
      <c r="G34" s="6"/>
      <c r="H34" s="6"/>
      <c r="I34" s="6" t="s">
        <v>118</v>
      </c>
      <c r="J34" s="23" t="s">
        <v>181</v>
      </c>
      <c r="K34" s="6"/>
      <c r="L34" s="24">
        <v>46158</v>
      </c>
      <c r="M34" s="7">
        <v>46143</v>
      </c>
      <c r="N34" s="7">
        <v>46157</v>
      </c>
      <c r="O34" s="7" t="str">
        <f t="shared" si="5"/>
        <v>Mayo - 20265</v>
      </c>
      <c r="P34" s="8" t="s">
        <v>64</v>
      </c>
      <c r="Q34" s="4">
        <v>2500</v>
      </c>
      <c r="R34" s="4">
        <f t="shared" si="23"/>
        <v>83.333333333333329</v>
      </c>
      <c r="S34" s="8">
        <v>11</v>
      </c>
      <c r="T34" s="8">
        <v>1</v>
      </c>
      <c r="U34" s="8">
        <v>3</v>
      </c>
      <c r="V34" s="8">
        <v>0</v>
      </c>
      <c r="W34" s="8">
        <v>0</v>
      </c>
      <c r="X34" s="8">
        <f>+COUNTIFS('BD Asistencia'!$E:$E,"h",'BD Asistencia'!$C:$C,'Planilla Mensual'!$D34,'BD Asistencia'!$D:$D,"&gt;="&amp;'Planilla Mensual'!M34,'BD Asistencia'!$D:$D,"&lt;="&amp;'Planilla Mensual'!N34)</f>
        <v>0</v>
      </c>
      <c r="Y34" s="8">
        <f>+COUNTIFS('BD Asistencia'!$E:$E,"h/A",'BD Asistencia'!$C:$C,'Planilla Mensual'!$D34,'BD Asistencia'!$D:$D,"&gt;="&amp;'Planilla Mensual'!M34,'BD Asistencia'!$D:$D,"&lt;="&amp;'Planilla Mensual'!N34)</f>
        <v>0</v>
      </c>
      <c r="Z34" s="8">
        <v>0</v>
      </c>
      <c r="AA34" s="8">
        <f>+COUNTIFS('BD Asistencia'!$E:$E,"F",'BD Asistencia'!$C:$C,'Planilla Mensual'!$D34,'BD Asistencia'!$D:$D,"&gt;="&amp;'Planilla Mensual'!M34,'BD Asistencia'!$D:$D,"&lt;="&amp;'Planilla Mensual'!N34)</f>
        <v>0</v>
      </c>
      <c r="AB34" s="8">
        <f t="shared" si="6"/>
        <v>15</v>
      </c>
      <c r="AC34" s="8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>
        <f>+SUM(AL34:AQ34)</f>
        <v>0</v>
      </c>
      <c r="AS34" s="4">
        <f>AI34-SUM(AL34:AQ34)</f>
        <v>0</v>
      </c>
      <c r="AT34" s="4">
        <f>AJ34+AK34</f>
        <v>0</v>
      </c>
      <c r="AU34" s="4"/>
      <c r="AV34" s="4">
        <f t="shared" si="22"/>
        <v>0</v>
      </c>
      <c r="AX34" s="4"/>
      <c r="AY34" s="4"/>
      <c r="AZ34" s="4">
        <f>+R34*(S34+T34)</f>
        <v>1000</v>
      </c>
      <c r="BA34" s="4"/>
      <c r="BB34" s="4"/>
      <c r="BC34" s="4">
        <f t="shared" si="10"/>
        <v>1000</v>
      </c>
      <c r="BD34" s="4">
        <f>AI34+AU34+AT34+AY34+AZ34+BA34+BB34</f>
        <v>1000</v>
      </c>
      <c r="BG34" s="30" t="e">
        <f>(AV34+AY34+SUM(AL34:AQ34))/V34</f>
        <v>#DIV/0!</v>
      </c>
      <c r="BH34" s="30">
        <f>+(AZ34+BA34)/(S34+T34)</f>
        <v>83.333333333333329</v>
      </c>
    </row>
    <row r="35" spans="2:60" x14ac:dyDescent="0.3">
      <c r="B35" s="6" t="s">
        <v>179</v>
      </c>
      <c r="C35" s="6">
        <v>70901195</v>
      </c>
      <c r="D35" s="6" t="s">
        <v>162</v>
      </c>
      <c r="E35" s="7">
        <v>35029</v>
      </c>
      <c r="F35" s="6"/>
      <c r="G35" s="6"/>
      <c r="H35" s="6"/>
      <c r="I35" s="6" t="s">
        <v>118</v>
      </c>
      <c r="J35" s="6" t="s">
        <v>175</v>
      </c>
      <c r="K35" s="6"/>
      <c r="L35" s="24">
        <v>46158</v>
      </c>
      <c r="M35" s="7">
        <v>46143</v>
      </c>
      <c r="N35" s="7">
        <v>46157</v>
      </c>
      <c r="O35" s="7"/>
      <c r="P35" s="8" t="s">
        <v>64</v>
      </c>
      <c r="Q35" s="4">
        <v>4500</v>
      </c>
      <c r="R35" s="4">
        <f t="shared" si="23"/>
        <v>150</v>
      </c>
      <c r="S35" s="8">
        <v>13</v>
      </c>
      <c r="T35" s="8">
        <v>2</v>
      </c>
      <c r="U35" s="8">
        <f>+COUNTIFS('BD Asistencia'!$H:$H,"NO REMUNERADO",'BD Asistencia'!$C:$C,'Planilla Mensual'!$D35,'BD Asistencia'!$D:$D,"&lt;"&amp;L35)</f>
        <v>0</v>
      </c>
      <c r="V35" s="8">
        <v>0</v>
      </c>
      <c r="W35" s="8">
        <v>0</v>
      </c>
      <c r="X35" s="8">
        <f>+COUNTIFS('BD Asistencia'!$E:$E,"h",'BD Asistencia'!$C:$C,'Planilla Mensual'!$D35,'BD Asistencia'!$D:$D,"&gt;="&amp;'Planilla Mensual'!M35,'BD Asistencia'!$D:$D,"&lt;="&amp;'Planilla Mensual'!N35)</f>
        <v>0</v>
      </c>
      <c r="Y35" s="8">
        <f>+COUNTIFS('BD Asistencia'!$E:$E,"h/A",'BD Asistencia'!$C:$C,'Planilla Mensual'!$D35,'BD Asistencia'!$D:$D,"&gt;="&amp;'Planilla Mensual'!M35,'BD Asistencia'!$D:$D,"&lt;="&amp;'Planilla Mensual'!N35)</f>
        <v>0</v>
      </c>
      <c r="Z35" s="8">
        <f>+COUNTIFS('BD Asistencia'!$H:$H,"NO REMUNERADO",'BD Asistencia'!$C:$C,'Planilla Mensual'!$D35,'BD Asistencia'!$D:$D,"&gt;="&amp;'Planilla Mensual'!M35,'BD Asistencia'!$D:$D,"&lt;="&amp;'Planilla Mensual'!N35)-U35</f>
        <v>0</v>
      </c>
      <c r="AA35" s="8">
        <f>+COUNTIFS('BD Asistencia'!$E:$E,"F",'BD Asistencia'!$C:$C,'Planilla Mensual'!$D35,'BD Asistencia'!$D:$D,"&gt;="&amp;'Planilla Mensual'!M35,'BD Asistencia'!$D:$D,"&lt;="&amp;'Planilla Mensual'!N35)</f>
        <v>0</v>
      </c>
      <c r="AB35" s="8">
        <f t="shared" si="6"/>
        <v>15</v>
      </c>
      <c r="AC35" s="8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>
        <f>+SUM(AL35:AQ35)</f>
        <v>0</v>
      </c>
      <c r="AS35" s="4">
        <f>AI35-SUM(AL35:AQ35)</f>
        <v>0</v>
      </c>
      <c r="AT35" s="4">
        <f>AJ35+AK35</f>
        <v>0</v>
      </c>
      <c r="AU35" s="4"/>
      <c r="AV35" s="4">
        <f t="shared" si="22"/>
        <v>0</v>
      </c>
      <c r="AX35" s="4"/>
      <c r="AY35" s="4"/>
      <c r="AZ35" s="4">
        <f>+R35*(S35+T35)</f>
        <v>2250</v>
      </c>
      <c r="BA35" s="4"/>
      <c r="BB35" s="4"/>
      <c r="BC35" s="4">
        <f t="shared" si="10"/>
        <v>2250</v>
      </c>
      <c r="BD35" s="4">
        <f>AI35+AU35+AT35+AY35+AZ35+BA35+BB35</f>
        <v>2250</v>
      </c>
      <c r="BG35" s="30" t="e">
        <f>(AV35+AY35+SUM(AL35:AQ35))/V35</f>
        <v>#DIV/0!</v>
      </c>
      <c r="BH35" s="30">
        <f>+(AZ35+BA35)/(S35+T35)</f>
        <v>150</v>
      </c>
    </row>
    <row r="36" spans="2:60" x14ac:dyDescent="0.3">
      <c r="B36" s="6" t="s">
        <v>179</v>
      </c>
      <c r="C36" s="6">
        <v>72530933</v>
      </c>
      <c r="D36" s="6" t="s">
        <v>201</v>
      </c>
      <c r="E36" s="7">
        <v>35031</v>
      </c>
      <c r="F36" s="6"/>
      <c r="G36" s="6"/>
      <c r="H36" s="6"/>
      <c r="I36" s="6"/>
      <c r="J36" s="6"/>
      <c r="K36" s="6"/>
      <c r="L36" s="24">
        <v>46158</v>
      </c>
      <c r="M36" s="7">
        <v>46143</v>
      </c>
      <c r="N36" s="7">
        <v>46157</v>
      </c>
      <c r="O36" s="7"/>
      <c r="P36" s="8" t="s">
        <v>64</v>
      </c>
      <c r="Q36" s="4">
        <v>5000</v>
      </c>
      <c r="R36" s="4">
        <f t="shared" si="23"/>
        <v>166.66666666666666</v>
      </c>
      <c r="S36" s="8">
        <v>13</v>
      </c>
      <c r="T36" s="8">
        <v>2</v>
      </c>
      <c r="U36" s="8">
        <f>+COUNTIFS('BD Asistencia'!$H:$H,"NO REMUNERADO",'BD Asistencia'!$C:$C,'Planilla Mensual'!$D36,'BD Asistencia'!$D:$D,"&lt;"&amp;L36)</f>
        <v>0</v>
      </c>
      <c r="V36" s="8">
        <v>0</v>
      </c>
      <c r="W36" s="8">
        <v>0</v>
      </c>
      <c r="X36" s="8">
        <f>+COUNTIFS('BD Asistencia'!$E:$E,"h",'BD Asistencia'!$C:$C,'Planilla Mensual'!$D36,'BD Asistencia'!$D:$D,"&gt;="&amp;'Planilla Mensual'!M36,'BD Asistencia'!$D:$D,"&lt;="&amp;'Planilla Mensual'!N36)</f>
        <v>0</v>
      </c>
      <c r="Y36" s="8">
        <f>+COUNTIFS('BD Asistencia'!$E:$E,"h/A",'BD Asistencia'!$C:$C,'Planilla Mensual'!$D36,'BD Asistencia'!$D:$D,"&gt;="&amp;'Planilla Mensual'!M36,'BD Asistencia'!$D:$D,"&lt;="&amp;'Planilla Mensual'!N36)</f>
        <v>0</v>
      </c>
      <c r="Z36" s="8">
        <f>+COUNTIFS('BD Asistencia'!$H:$H,"NO REMUNERADO",'BD Asistencia'!$C:$C,'Planilla Mensual'!$D36,'BD Asistencia'!$D:$D,"&gt;="&amp;'Planilla Mensual'!M36,'BD Asistencia'!$D:$D,"&lt;="&amp;'Planilla Mensual'!N36)-U36</f>
        <v>0</v>
      </c>
      <c r="AA36" s="8">
        <f>+COUNTIFS('BD Asistencia'!$E:$E,"F",'BD Asistencia'!$C:$C,'Planilla Mensual'!$D36,'BD Asistencia'!$D:$D,"&gt;="&amp;'Planilla Mensual'!M36,'BD Asistencia'!$D:$D,"&lt;="&amp;'Planilla Mensual'!N36)</f>
        <v>0</v>
      </c>
      <c r="AB36" s="8">
        <f t="shared" si="6"/>
        <v>15</v>
      </c>
      <c r="AC36" s="8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>
        <f>+SUM(AL36:AQ36)</f>
        <v>0</v>
      </c>
      <c r="AS36" s="4">
        <f>AI36-SUM(AL36:AQ36)</f>
        <v>0</v>
      </c>
      <c r="AT36" s="4">
        <f>AJ36+AK36</f>
        <v>0</v>
      </c>
      <c r="AU36" s="4"/>
      <c r="AV36" s="4">
        <f t="shared" ref="AV36" si="24">AS36+AT36</f>
        <v>0</v>
      </c>
      <c r="AX36" s="4"/>
      <c r="AY36" s="4"/>
      <c r="AZ36" s="4">
        <f>+R36*(S36+T36)</f>
        <v>2500</v>
      </c>
      <c r="BA36" s="4"/>
      <c r="BB36" s="4"/>
      <c r="BC36" s="4">
        <f t="shared" si="10"/>
        <v>2500</v>
      </c>
      <c r="BD36" s="4">
        <f>AI36+AU36+AT36+AY36+AZ36+BA36+BB36</f>
        <v>2500</v>
      </c>
      <c r="BG36" s="30" t="e">
        <f>(AV36+AY36+SUM(AL36:AQ36))/V36</f>
        <v>#DIV/0!</v>
      </c>
      <c r="BH36" s="30">
        <f>+(AZ36+BA36)/(S36+T36)</f>
        <v>166.66666666666666</v>
      </c>
    </row>
    <row r="37" spans="2:60" hidden="1" x14ac:dyDescent="0.3">
      <c r="BC37" s="34">
        <f>+SUBTOTAL(9,BC2:BC36)</f>
        <v>38891.021049999996</v>
      </c>
      <c r="BD37" s="34">
        <f>+SUBTOTAL(9,BD2:BD36)</f>
        <v>42946.700000000004</v>
      </c>
    </row>
  </sheetData>
  <autoFilter ref="B2:BD36" xr:uid="{00000000-0001-0000-0000-000000000000}"/>
  <mergeCells count="6">
    <mergeCell ref="M1:N1"/>
    <mergeCell ref="V1:AA1"/>
    <mergeCell ref="AJ1:AK1"/>
    <mergeCell ref="AL1:AO1"/>
    <mergeCell ref="AP1:AQ1"/>
    <mergeCell ref="S1:U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AE8DC-E093-42C2-9F95-EDCBD465038D}">
  <dimension ref="A1:E34"/>
  <sheetViews>
    <sheetView workbookViewId="0">
      <selection activeCell="C3" sqref="C3"/>
    </sheetView>
  </sheetViews>
  <sheetFormatPr defaultColWidth="11.5546875" defaultRowHeight="14.4" x14ac:dyDescent="0.3"/>
  <cols>
    <col min="1" max="1" width="36.109375" bestFit="1" customWidth="1"/>
    <col min="2" max="3" width="11.5546875" style="19"/>
    <col min="5" max="5" width="20.33203125" bestFit="1" customWidth="1"/>
  </cols>
  <sheetData>
    <row r="1" spans="1:5" x14ac:dyDescent="0.3">
      <c r="A1" s="36" t="s">
        <v>177</v>
      </c>
      <c r="B1" s="37" t="s">
        <v>209</v>
      </c>
      <c r="C1" s="37" t="s">
        <v>210</v>
      </c>
      <c r="D1" s="36" t="s">
        <v>211</v>
      </c>
      <c r="E1" t="s">
        <v>208</v>
      </c>
    </row>
    <row r="2" spans="1:5" x14ac:dyDescent="0.3">
      <c r="A2" t="s">
        <v>141</v>
      </c>
      <c r="B2" s="19">
        <v>46143</v>
      </c>
      <c r="C2" s="19">
        <v>46157</v>
      </c>
      <c r="D2" s="38">
        <f>+SUMIFS('Planilla Mensual'!BC:BC,'Planilla Mensual'!D:D,'Base costo planilla'!A2,'Planilla Mensual'!M:M,'Base costo planilla'!B2)</f>
        <v>1381.19795</v>
      </c>
      <c r="E2" s="39" t="s">
        <v>212</v>
      </c>
    </row>
    <row r="3" spans="1:5" x14ac:dyDescent="0.3">
      <c r="A3" t="s">
        <v>142</v>
      </c>
      <c r="B3" s="19">
        <v>46143</v>
      </c>
      <c r="C3" s="19">
        <v>46157</v>
      </c>
      <c r="D3" s="38">
        <f>+SUMIFS('Planilla Mensual'!BC:BC,'Planilla Mensual'!D:D,'Base costo planilla'!A3,'Planilla Mensual'!M:M,'Base costo planilla'!B3)</f>
        <v>1591.9949999999999</v>
      </c>
      <c r="E3" s="40" t="s">
        <v>213</v>
      </c>
    </row>
    <row r="4" spans="1:5" x14ac:dyDescent="0.3">
      <c r="A4" t="s">
        <v>100</v>
      </c>
      <c r="B4" s="19">
        <v>46143</v>
      </c>
      <c r="C4" s="19">
        <v>46157</v>
      </c>
      <c r="D4" s="38">
        <f>+SUMIFS('Planilla Mensual'!BC:BC,'Planilla Mensual'!D:D,'Base costo planilla'!A4,'Planilla Mensual'!M:M,'Base costo planilla'!B4)</f>
        <v>1497.8913499999999</v>
      </c>
      <c r="E4" s="39" t="s">
        <v>220</v>
      </c>
    </row>
    <row r="5" spans="1:5" x14ac:dyDescent="0.3">
      <c r="A5" t="s">
        <v>143</v>
      </c>
      <c r="B5" s="19">
        <v>46143</v>
      </c>
      <c r="C5" s="19">
        <v>46157</v>
      </c>
      <c r="D5" s="38">
        <f>+SUMIFS('Planilla Mensual'!BC:BC,'Planilla Mensual'!D:D,'Base costo planilla'!A5,'Planilla Mensual'!M:M,'Base costo planilla'!B5)</f>
        <v>1554.7716</v>
      </c>
      <c r="E5" s="39" t="s">
        <v>223</v>
      </c>
    </row>
    <row r="6" spans="1:5" x14ac:dyDescent="0.3">
      <c r="A6" t="s">
        <v>101</v>
      </c>
      <c r="B6" s="19">
        <v>46143</v>
      </c>
      <c r="C6" s="19">
        <v>46157</v>
      </c>
      <c r="D6" s="38">
        <f>+SUMIFS('Planilla Mensual'!BC:BC,'Planilla Mensual'!D:D,'Base costo planilla'!A6,'Planilla Mensual'!M:M,'Base costo planilla'!B6)</f>
        <v>1504.0372</v>
      </c>
      <c r="E6" s="39" t="s">
        <v>229</v>
      </c>
    </row>
    <row r="7" spans="1:5" x14ac:dyDescent="0.3">
      <c r="A7" t="s">
        <v>144</v>
      </c>
      <c r="B7" s="19">
        <v>46143</v>
      </c>
      <c r="C7" s="19">
        <v>46157</v>
      </c>
      <c r="D7" s="38">
        <f>+SUMIFS('Planilla Mensual'!BC:BC,'Planilla Mensual'!D:D,'Base costo planilla'!A7,'Planilla Mensual'!M:M,'Base costo planilla'!B7)</f>
        <v>1246.7599500000001</v>
      </c>
      <c r="E7" s="40" t="s">
        <v>218</v>
      </c>
    </row>
    <row r="8" spans="1:5" x14ac:dyDescent="0.3">
      <c r="A8" t="s">
        <v>145</v>
      </c>
      <c r="B8" s="19">
        <v>46143</v>
      </c>
      <c r="C8" s="19">
        <v>46157</v>
      </c>
      <c r="D8" s="38">
        <f>+SUMIFS('Planilla Mensual'!BC:BC,'Planilla Mensual'!D:D,'Base costo planilla'!A8,'Planilla Mensual'!M:M,'Base costo planilla'!B8)</f>
        <v>1000.6</v>
      </c>
      <c r="E8" s="39" t="s">
        <v>231</v>
      </c>
    </row>
    <row r="9" spans="1:5" x14ac:dyDescent="0.3">
      <c r="A9" t="s">
        <v>91</v>
      </c>
      <c r="B9" s="19">
        <v>46143</v>
      </c>
      <c r="C9" s="19">
        <v>46157</v>
      </c>
      <c r="D9" s="38">
        <f>+SUMIFS('Planilla Mensual'!BC:BC,'Planilla Mensual'!D:D,'Base costo planilla'!A9,'Planilla Mensual'!M:M,'Base costo planilla'!B9)</f>
        <v>1422.9584500000001</v>
      </c>
      <c r="E9" s="40" t="s">
        <v>230</v>
      </c>
    </row>
    <row r="10" spans="1:5" x14ac:dyDescent="0.3">
      <c r="A10" t="s">
        <v>146</v>
      </c>
      <c r="B10" s="19">
        <v>46143</v>
      </c>
      <c r="C10" s="19">
        <v>46157</v>
      </c>
      <c r="D10" s="38">
        <f>+SUMIFS('Planilla Mensual'!BC:BC,'Planilla Mensual'!D:D,'Base costo planilla'!A10,'Planilla Mensual'!M:M,'Base costo planilla'!B10)</f>
        <v>862.72500000000002</v>
      </c>
      <c r="E10" s="39" t="s">
        <v>222</v>
      </c>
    </row>
    <row r="11" spans="1:5" x14ac:dyDescent="0.3">
      <c r="A11" t="s">
        <v>94</v>
      </c>
      <c r="B11" s="19">
        <v>46143</v>
      </c>
      <c r="C11" s="19">
        <v>46157</v>
      </c>
      <c r="D11" s="38">
        <f>+SUMIFS('Planilla Mensual'!BC:BC,'Planilla Mensual'!D:D,'Base costo planilla'!A11,'Planilla Mensual'!M:M,'Base costo planilla'!B11)</f>
        <v>847.53161666666676</v>
      </c>
      <c r="E11" s="40" t="s">
        <v>232</v>
      </c>
    </row>
    <row r="12" spans="1:5" x14ac:dyDescent="0.3">
      <c r="A12" t="s">
        <v>93</v>
      </c>
      <c r="B12" s="19">
        <v>46143</v>
      </c>
      <c r="C12" s="19">
        <v>46157</v>
      </c>
      <c r="D12" s="38">
        <f>+SUMIFS('Planilla Mensual'!BC:BC,'Planilla Mensual'!D:D,'Base costo planilla'!A12,'Planilla Mensual'!M:M,'Base costo planilla'!B12)</f>
        <v>1036.79</v>
      </c>
      <c r="E12" s="39" t="s">
        <v>238</v>
      </c>
    </row>
    <row r="13" spans="1:5" x14ac:dyDescent="0.3">
      <c r="A13" t="s">
        <v>154</v>
      </c>
      <c r="B13" s="19">
        <v>46143</v>
      </c>
      <c r="C13" s="19">
        <v>46157</v>
      </c>
      <c r="D13" s="38">
        <f>+SUMIFS('Planilla Mensual'!BC:BC,'Planilla Mensual'!D:D,'Base costo planilla'!A13,'Planilla Mensual'!M:M,'Base costo planilla'!B13)</f>
        <v>1156.7543499999999</v>
      </c>
      <c r="E13" s="39" t="s">
        <v>239</v>
      </c>
    </row>
    <row r="14" spans="1:5" x14ac:dyDescent="0.3">
      <c r="A14" t="s">
        <v>97</v>
      </c>
      <c r="B14" s="19">
        <v>46143</v>
      </c>
      <c r="C14" s="19">
        <v>46157</v>
      </c>
      <c r="D14" s="38">
        <f>+SUMIFS('Planilla Mensual'!BC:BC,'Planilla Mensual'!D:D,'Base costo planilla'!A14,'Planilla Mensual'!M:M,'Base costo planilla'!B14)</f>
        <v>1095.1411166666667</v>
      </c>
      <c r="E14" s="39" t="s">
        <v>240</v>
      </c>
    </row>
    <row r="15" spans="1:5" x14ac:dyDescent="0.3">
      <c r="A15" t="s">
        <v>89</v>
      </c>
      <c r="B15" s="19">
        <v>46143</v>
      </c>
      <c r="C15" s="19">
        <v>46157</v>
      </c>
      <c r="D15" s="38">
        <f>+SUMIFS('Planilla Mensual'!BC:BC,'Planilla Mensual'!D:D,'Base costo planilla'!A15,'Planilla Mensual'!M:M,'Base costo planilla'!B15)</f>
        <v>665.32661666666672</v>
      </c>
      <c r="E15" s="39" t="s">
        <v>241</v>
      </c>
    </row>
    <row r="16" spans="1:5" x14ac:dyDescent="0.3">
      <c r="A16" t="s">
        <v>90</v>
      </c>
      <c r="B16" s="19">
        <v>46143</v>
      </c>
      <c r="C16" s="19">
        <v>46157</v>
      </c>
      <c r="D16" s="38">
        <f>+SUMIFS('Planilla Mensual'!BC:BC,'Planilla Mensual'!D:D,'Base costo planilla'!A16,'Planilla Mensual'!M:M,'Base costo planilla'!B16)</f>
        <v>472.70266666666669</v>
      </c>
      <c r="E16" s="39" t="s">
        <v>214</v>
      </c>
    </row>
    <row r="17" spans="1:5" x14ac:dyDescent="0.3">
      <c r="A17" t="s">
        <v>96</v>
      </c>
      <c r="B17" s="19">
        <v>46143</v>
      </c>
      <c r="C17" s="19">
        <v>46157</v>
      </c>
      <c r="D17" s="38">
        <f>+SUMIFS('Planilla Mensual'!BC:BC,'Planilla Mensual'!D:D,'Base costo planilla'!A17,'Planilla Mensual'!M:M,'Base costo planilla'!B17)</f>
        <v>530.73761666666667</v>
      </c>
      <c r="E17" s="40" t="s">
        <v>242</v>
      </c>
    </row>
    <row r="18" spans="1:5" x14ac:dyDescent="0.3">
      <c r="A18" t="s">
        <v>87</v>
      </c>
      <c r="B18" s="19">
        <v>46143</v>
      </c>
      <c r="C18" s="19">
        <v>46157</v>
      </c>
      <c r="D18" s="38">
        <f>+SUMIFS('Planilla Mensual'!BC:BC,'Planilla Mensual'!D:D,'Base costo planilla'!A18,'Planilla Mensual'!M:M,'Base costo planilla'!B18)</f>
        <v>1350</v>
      </c>
      <c r="E18" s="39" t="s">
        <v>219</v>
      </c>
    </row>
    <row r="19" spans="1:5" x14ac:dyDescent="0.3">
      <c r="A19" t="s">
        <v>81</v>
      </c>
      <c r="B19" s="19">
        <v>46143</v>
      </c>
      <c r="C19" s="19">
        <v>46157</v>
      </c>
      <c r="D19" s="38">
        <f>+SUMIFS('Planilla Mensual'!BC:BC,'Planilla Mensual'!D:D,'Base costo planilla'!A19,'Planilla Mensual'!M:M,'Base costo planilla'!B19)</f>
        <v>1254</v>
      </c>
      <c r="E19" s="39" t="s">
        <v>225</v>
      </c>
    </row>
    <row r="20" spans="1:5" x14ac:dyDescent="0.3">
      <c r="A20" t="s">
        <v>151</v>
      </c>
      <c r="B20" s="19">
        <v>46143</v>
      </c>
      <c r="C20" s="19">
        <v>46157</v>
      </c>
      <c r="D20" s="38">
        <f>+SUMIFS('Planilla Mensual'!BC:BC,'Planilla Mensual'!D:D,'Base costo planilla'!A20,'Planilla Mensual'!M:M,'Base costo planilla'!B20)</f>
        <v>880</v>
      </c>
      <c r="E20" s="40" t="s">
        <v>228</v>
      </c>
    </row>
    <row r="21" spans="1:5" x14ac:dyDescent="0.3">
      <c r="A21" t="s">
        <v>158</v>
      </c>
      <c r="B21" s="19">
        <v>46143</v>
      </c>
      <c r="C21" s="19">
        <v>46157</v>
      </c>
      <c r="D21" s="38">
        <f>+SUMIFS('Planilla Mensual'!BC:BC,'Planilla Mensual'!D:D,'Base costo planilla'!A21,'Planilla Mensual'!M:M,'Base costo planilla'!B21)</f>
        <v>210</v>
      </c>
      <c r="E21" s="40" t="s">
        <v>226</v>
      </c>
    </row>
    <row r="22" spans="1:5" x14ac:dyDescent="0.3">
      <c r="A22" t="s">
        <v>80</v>
      </c>
      <c r="B22" s="19">
        <v>46143</v>
      </c>
      <c r="C22" s="19">
        <v>46157</v>
      </c>
      <c r="D22" s="38">
        <f>+SUMIFS('Planilla Mensual'!BC:BC,'Planilla Mensual'!D:D,'Base costo planilla'!A22,'Planilla Mensual'!M:M,'Base costo planilla'!B22)</f>
        <v>1200</v>
      </c>
      <c r="E22" s="40" t="s">
        <v>215</v>
      </c>
    </row>
    <row r="23" spans="1:5" x14ac:dyDescent="0.3">
      <c r="A23" t="s">
        <v>82</v>
      </c>
      <c r="B23" s="19">
        <v>46143</v>
      </c>
      <c r="C23" s="19">
        <v>46157</v>
      </c>
      <c r="D23" s="38">
        <f>+SUMIFS('Planilla Mensual'!BC:BC,'Planilla Mensual'!D:D,'Base costo planilla'!A23,'Planilla Mensual'!M:M,'Base costo planilla'!B23)</f>
        <v>1200</v>
      </c>
      <c r="E23" s="39" t="s">
        <v>233</v>
      </c>
    </row>
    <row r="24" spans="1:5" x14ac:dyDescent="0.3">
      <c r="A24" t="s">
        <v>157</v>
      </c>
      <c r="B24" s="19">
        <v>46143</v>
      </c>
      <c r="C24" s="19">
        <v>46157</v>
      </c>
      <c r="D24" s="38">
        <f>+SUMIFS('Planilla Mensual'!BC:BC,'Planilla Mensual'!D:D,'Base costo planilla'!A24,'Planilla Mensual'!M:M,'Base costo planilla'!B24)</f>
        <v>1305</v>
      </c>
      <c r="E24" s="40" t="s">
        <v>234</v>
      </c>
    </row>
    <row r="25" spans="1:5" x14ac:dyDescent="0.3">
      <c r="A25" t="s">
        <v>149</v>
      </c>
      <c r="B25" s="19">
        <v>46143</v>
      </c>
      <c r="C25" s="19">
        <v>46157</v>
      </c>
      <c r="D25" s="38">
        <f>+SUMIFS('Planilla Mensual'!BC:BC,'Planilla Mensual'!D:D,'Base costo planilla'!A25,'Planilla Mensual'!M:M,'Base costo planilla'!B25)</f>
        <v>1275</v>
      </c>
      <c r="E25" s="39" t="s">
        <v>235</v>
      </c>
    </row>
    <row r="26" spans="1:5" x14ac:dyDescent="0.3">
      <c r="A26" t="s">
        <v>78</v>
      </c>
      <c r="B26" s="19">
        <v>46143</v>
      </c>
      <c r="C26" s="19">
        <v>46157</v>
      </c>
      <c r="D26" s="38">
        <f>+SUMIFS('Planilla Mensual'!BC:BC,'Planilla Mensual'!D:D,'Base costo planilla'!A26,'Planilla Mensual'!M:M,'Base costo planilla'!B26)</f>
        <v>1500</v>
      </c>
      <c r="E26" s="40" t="s">
        <v>221</v>
      </c>
    </row>
    <row r="27" spans="1:5" x14ac:dyDescent="0.3">
      <c r="A27" t="s">
        <v>148</v>
      </c>
      <c r="B27" s="19">
        <v>46143</v>
      </c>
      <c r="C27" s="19">
        <v>46157</v>
      </c>
      <c r="D27" s="38">
        <f>+SUMIFS('Planilla Mensual'!BC:BC,'Planilla Mensual'!D:D,'Base costo planilla'!A27,'Planilla Mensual'!M:M,'Base costo planilla'!B27)</f>
        <v>1500</v>
      </c>
      <c r="E27" s="39" t="s">
        <v>227</v>
      </c>
    </row>
    <row r="28" spans="1:5" x14ac:dyDescent="0.3">
      <c r="A28" t="s">
        <v>147</v>
      </c>
      <c r="B28" s="19">
        <v>46143</v>
      </c>
      <c r="C28" s="19">
        <v>46157</v>
      </c>
      <c r="D28" s="38">
        <f>+SUMIFS('Planilla Mensual'!BC:BC,'Planilla Mensual'!D:D,'Base costo planilla'!A28,'Planilla Mensual'!M:M,'Base costo planilla'!B28)</f>
        <v>1250</v>
      </c>
      <c r="E28" s="40" t="s">
        <v>216</v>
      </c>
    </row>
    <row r="29" spans="1:5" x14ac:dyDescent="0.3">
      <c r="A29" t="s">
        <v>159</v>
      </c>
      <c r="B29" s="19">
        <v>46143</v>
      </c>
      <c r="C29" s="19">
        <v>46157</v>
      </c>
      <c r="D29" s="38">
        <f>+SUMIFS('Planilla Mensual'!BC:BC,'Planilla Mensual'!D:D,'Base costo planilla'!A29,'Planilla Mensual'!M:M,'Base costo planilla'!B29)</f>
        <v>600</v>
      </c>
      <c r="E29" s="39" t="s">
        <v>217</v>
      </c>
    </row>
    <row r="30" spans="1:5" x14ac:dyDescent="0.3">
      <c r="A30" t="s">
        <v>74</v>
      </c>
      <c r="B30" s="19">
        <v>46143</v>
      </c>
      <c r="C30" s="19">
        <v>46157</v>
      </c>
      <c r="D30" s="38">
        <f>+SUMIFS('Planilla Mensual'!BC:BC,'Planilla Mensual'!D:D,'Base costo planilla'!A30,'Planilla Mensual'!M:M,'Base costo planilla'!B30)</f>
        <v>160</v>
      </c>
      <c r="E30" s="40" t="s">
        <v>236</v>
      </c>
    </row>
    <row r="31" spans="1:5" x14ac:dyDescent="0.3">
      <c r="A31" t="s">
        <v>160</v>
      </c>
      <c r="B31" s="19">
        <v>46143</v>
      </c>
      <c r="C31" s="19">
        <v>46157</v>
      </c>
      <c r="D31" s="38">
        <f>+SUMIFS('Planilla Mensual'!BC:BC,'Planilla Mensual'!D:D,'Base costo planilla'!A31,'Planilla Mensual'!M:M,'Base costo planilla'!B31)</f>
        <v>600</v>
      </c>
      <c r="E31" s="40" t="s">
        <v>224</v>
      </c>
    </row>
    <row r="32" spans="1:5" x14ac:dyDescent="0.3">
      <c r="A32" t="s">
        <v>161</v>
      </c>
      <c r="B32" s="19">
        <v>46143</v>
      </c>
      <c r="C32" s="19">
        <v>46157</v>
      </c>
      <c r="D32" s="38">
        <f>+SUMIFS('Planilla Mensual'!BC:BC,'Planilla Mensual'!D:D,'Base costo planilla'!A32,'Planilla Mensual'!M:M,'Base costo planilla'!B32)</f>
        <v>1000</v>
      </c>
      <c r="E32" t="s">
        <v>243</v>
      </c>
    </row>
    <row r="33" spans="1:5" x14ac:dyDescent="0.3">
      <c r="A33" t="s">
        <v>162</v>
      </c>
      <c r="B33" s="19">
        <v>46143</v>
      </c>
      <c r="C33" s="19">
        <v>46157</v>
      </c>
      <c r="D33" s="38">
        <f>+SUMIFS('Planilla Mensual'!BC:BC,'Planilla Mensual'!D:D,'Base costo planilla'!A33,'Planilla Mensual'!M:M,'Base costo planilla'!B33)</f>
        <v>2250</v>
      </c>
      <c r="E33" s="40" t="s">
        <v>237</v>
      </c>
    </row>
    <row r="34" spans="1:5" x14ac:dyDescent="0.3">
      <c r="A34" t="s">
        <v>201</v>
      </c>
      <c r="B34" s="19">
        <v>46143</v>
      </c>
      <c r="C34" s="19">
        <v>46157</v>
      </c>
      <c r="D34" s="38">
        <f>+SUMIFS('Planilla Mensual'!BC:BC,'Planilla Mensual'!D:D,'Base costo planilla'!A34,'Planilla Mensual'!M:M,'Base costo planilla'!B34)</f>
        <v>2500</v>
      </c>
      <c r="E34" t="s">
        <v>201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30C2A-4C41-4FD4-A885-5C739B9F2BFD}">
  <dimension ref="A1:K1179"/>
  <sheetViews>
    <sheetView zoomScale="80" workbookViewId="0">
      <pane ySplit="1" topLeftCell="A467" activePane="bottomLeft" state="frozen"/>
      <selection pane="bottomLeft" activeCell="K882" sqref="K882"/>
    </sheetView>
  </sheetViews>
  <sheetFormatPr defaultColWidth="11.5546875" defaultRowHeight="14.4" x14ac:dyDescent="0.3"/>
  <cols>
    <col min="1" max="1" width="12.33203125" bestFit="1" customWidth="1"/>
    <col min="2" max="2" width="19.109375" bestFit="1" customWidth="1"/>
    <col min="3" max="3" width="37.44140625" customWidth="1"/>
    <col min="4" max="4" width="10.5546875" bestFit="1" customWidth="1"/>
    <col min="5" max="5" width="8.33203125" bestFit="1" customWidth="1"/>
    <col min="6" max="6" width="13.33203125" bestFit="1" customWidth="1"/>
    <col min="7" max="7" width="9.6640625" bestFit="1" customWidth="1"/>
    <col min="8" max="8" width="15" bestFit="1" customWidth="1"/>
  </cols>
  <sheetData>
    <row r="1" spans="1:8" x14ac:dyDescent="0.3">
      <c r="A1" t="s">
        <v>68</v>
      </c>
      <c r="B1" t="s">
        <v>69</v>
      </c>
      <c r="C1" t="s">
        <v>1</v>
      </c>
      <c r="D1" t="s">
        <v>70</v>
      </c>
      <c r="E1" t="s">
        <v>71</v>
      </c>
      <c r="F1" s="1" t="s">
        <v>105</v>
      </c>
      <c r="G1" s="1" t="s">
        <v>106</v>
      </c>
      <c r="H1" t="s">
        <v>194</v>
      </c>
    </row>
    <row r="2" spans="1:8" hidden="1" x14ac:dyDescent="0.3">
      <c r="A2" t="s">
        <v>72</v>
      </c>
      <c r="B2" t="s">
        <v>73</v>
      </c>
      <c r="C2" t="s">
        <v>74</v>
      </c>
      <c r="D2" s="19">
        <v>46143</v>
      </c>
      <c r="E2" t="s">
        <v>75</v>
      </c>
      <c r="F2">
        <f>+_xlfn.ISOWEEKNUM(export?format_csv_gid_612082435[[#This Row],[Fecha]])</f>
        <v>18</v>
      </c>
      <c r="G2">
        <f>+YEAR(export?format_csv_gid_612082435[[#This Row],[Fecha]])</f>
        <v>2026</v>
      </c>
      <c r="H2" t="str">
        <f>+VLOOKUP(export?format_csv_gid_612082435[[#This Row],[Valor]],Listas!A:B,2,FALSE)</f>
        <v>No Remunerado</v>
      </c>
    </row>
    <row r="3" spans="1:8" hidden="1" x14ac:dyDescent="0.3">
      <c r="A3" t="s">
        <v>72</v>
      </c>
      <c r="B3" t="s">
        <v>73</v>
      </c>
      <c r="C3" t="s">
        <v>74</v>
      </c>
      <c r="D3" s="19">
        <v>46144</v>
      </c>
      <c r="E3" t="s">
        <v>75</v>
      </c>
      <c r="F3">
        <f>+_xlfn.ISOWEEKNUM(export?format_csv_gid_612082435[[#This Row],[Fecha]])</f>
        <v>18</v>
      </c>
      <c r="G3">
        <f>+YEAR(export?format_csv_gid_612082435[[#This Row],[Fecha]])</f>
        <v>2026</v>
      </c>
      <c r="H3" t="str">
        <f>+VLOOKUP(export?format_csv_gid_612082435[[#This Row],[Valor]],Listas!A:B,2,FALSE)</f>
        <v>No Remunerado</v>
      </c>
    </row>
    <row r="4" spans="1:8" hidden="1" x14ac:dyDescent="0.3">
      <c r="A4" t="s">
        <v>72</v>
      </c>
      <c r="B4" t="s">
        <v>73</v>
      </c>
      <c r="C4" t="s">
        <v>74</v>
      </c>
      <c r="D4" s="19">
        <v>46145</v>
      </c>
      <c r="E4" t="s">
        <v>75</v>
      </c>
      <c r="F4">
        <f>+_xlfn.ISOWEEKNUM(export?format_csv_gid_612082435[[#This Row],[Fecha]])</f>
        <v>18</v>
      </c>
      <c r="G4">
        <f>+YEAR(export?format_csv_gid_612082435[[#This Row],[Fecha]])</f>
        <v>2026</v>
      </c>
      <c r="H4" t="str">
        <f>+VLOOKUP(export?format_csv_gid_612082435[[#This Row],[Valor]],Listas!A:B,2,FALSE)</f>
        <v>No Remunerado</v>
      </c>
    </row>
    <row r="5" spans="1:8" hidden="1" x14ac:dyDescent="0.3">
      <c r="A5" t="s">
        <v>72</v>
      </c>
      <c r="B5" t="s">
        <v>73</v>
      </c>
      <c r="C5" t="s">
        <v>74</v>
      </c>
      <c r="D5" s="19">
        <v>46146</v>
      </c>
      <c r="E5" t="s">
        <v>75</v>
      </c>
      <c r="F5">
        <f>+_xlfn.ISOWEEKNUM(export?format_csv_gid_612082435[[#This Row],[Fecha]])</f>
        <v>19</v>
      </c>
      <c r="G5">
        <f>+YEAR(export?format_csv_gid_612082435[[#This Row],[Fecha]])</f>
        <v>2026</v>
      </c>
      <c r="H5" t="str">
        <f>+VLOOKUP(export?format_csv_gid_612082435[[#This Row],[Valor]],Listas!A:B,2,FALSE)</f>
        <v>No Remunerado</v>
      </c>
    </row>
    <row r="6" spans="1:8" hidden="1" x14ac:dyDescent="0.3">
      <c r="A6" t="s">
        <v>72</v>
      </c>
      <c r="B6" t="s">
        <v>73</v>
      </c>
      <c r="C6" t="s">
        <v>74</v>
      </c>
      <c r="D6" s="19">
        <v>46147</v>
      </c>
      <c r="E6" t="s">
        <v>75</v>
      </c>
      <c r="F6">
        <f>+_xlfn.ISOWEEKNUM(export?format_csv_gid_612082435[[#This Row],[Fecha]])</f>
        <v>19</v>
      </c>
      <c r="G6">
        <f>+YEAR(export?format_csv_gid_612082435[[#This Row],[Fecha]])</f>
        <v>2026</v>
      </c>
      <c r="H6" t="str">
        <f>+VLOOKUP(export?format_csv_gid_612082435[[#This Row],[Valor]],Listas!A:B,2,FALSE)</f>
        <v>No Remunerado</v>
      </c>
    </row>
    <row r="7" spans="1:8" hidden="1" x14ac:dyDescent="0.3">
      <c r="A7" t="s">
        <v>72</v>
      </c>
      <c r="B7" t="s">
        <v>73</v>
      </c>
      <c r="C7" t="s">
        <v>74</v>
      </c>
      <c r="D7" s="19">
        <v>46148</v>
      </c>
      <c r="E7" t="s">
        <v>75</v>
      </c>
      <c r="F7">
        <f>+_xlfn.ISOWEEKNUM(export?format_csv_gid_612082435[[#This Row],[Fecha]])</f>
        <v>19</v>
      </c>
      <c r="G7">
        <f>+YEAR(export?format_csv_gid_612082435[[#This Row],[Fecha]])</f>
        <v>2026</v>
      </c>
      <c r="H7" t="str">
        <f>+VLOOKUP(export?format_csv_gid_612082435[[#This Row],[Valor]],Listas!A:B,2,FALSE)</f>
        <v>No Remunerado</v>
      </c>
    </row>
    <row r="8" spans="1:8" hidden="1" x14ac:dyDescent="0.3">
      <c r="A8" t="s">
        <v>72</v>
      </c>
      <c r="B8" t="s">
        <v>73</v>
      </c>
      <c r="C8" t="s">
        <v>74</v>
      </c>
      <c r="D8" s="19">
        <v>46149</v>
      </c>
      <c r="E8" t="s">
        <v>75</v>
      </c>
      <c r="F8">
        <f>+_xlfn.ISOWEEKNUM(export?format_csv_gid_612082435[[#This Row],[Fecha]])</f>
        <v>19</v>
      </c>
      <c r="G8">
        <f>+YEAR(export?format_csv_gid_612082435[[#This Row],[Fecha]])</f>
        <v>2026</v>
      </c>
      <c r="H8" t="str">
        <f>+VLOOKUP(export?format_csv_gid_612082435[[#This Row],[Valor]],Listas!A:B,2,FALSE)</f>
        <v>No Remunerado</v>
      </c>
    </row>
    <row r="9" spans="1:8" hidden="1" x14ac:dyDescent="0.3">
      <c r="A9" t="s">
        <v>72</v>
      </c>
      <c r="B9" t="s">
        <v>73</v>
      </c>
      <c r="C9" t="s">
        <v>74</v>
      </c>
      <c r="D9" s="19">
        <v>46150</v>
      </c>
      <c r="E9" t="s">
        <v>75</v>
      </c>
      <c r="F9">
        <f>+_xlfn.ISOWEEKNUM(export?format_csv_gid_612082435[[#This Row],[Fecha]])</f>
        <v>19</v>
      </c>
      <c r="G9">
        <f>+YEAR(export?format_csv_gid_612082435[[#This Row],[Fecha]])</f>
        <v>2026</v>
      </c>
      <c r="H9" t="str">
        <f>+VLOOKUP(export?format_csv_gid_612082435[[#This Row],[Valor]],Listas!A:B,2,FALSE)</f>
        <v>No Remunerado</v>
      </c>
    </row>
    <row r="10" spans="1:8" hidden="1" x14ac:dyDescent="0.3">
      <c r="A10" t="s">
        <v>72</v>
      </c>
      <c r="B10" t="s">
        <v>73</v>
      </c>
      <c r="C10" t="s">
        <v>74</v>
      </c>
      <c r="D10" s="19">
        <v>46151</v>
      </c>
      <c r="E10" t="s">
        <v>75</v>
      </c>
      <c r="F10">
        <f>+_xlfn.ISOWEEKNUM(export?format_csv_gid_612082435[[#This Row],[Fecha]])</f>
        <v>19</v>
      </c>
      <c r="G10">
        <f>+YEAR(export?format_csv_gid_612082435[[#This Row],[Fecha]])</f>
        <v>2026</v>
      </c>
      <c r="H10" t="str">
        <f>+VLOOKUP(export?format_csv_gid_612082435[[#This Row],[Valor]],Listas!A:B,2,FALSE)</f>
        <v>No Remunerado</v>
      </c>
    </row>
    <row r="11" spans="1:8" hidden="1" x14ac:dyDescent="0.3">
      <c r="A11" t="s">
        <v>72</v>
      </c>
      <c r="B11" t="s">
        <v>73</v>
      </c>
      <c r="C11" t="s">
        <v>74</v>
      </c>
      <c r="D11" s="19">
        <v>46152</v>
      </c>
      <c r="E11" t="s">
        <v>75</v>
      </c>
      <c r="F11">
        <f>+_xlfn.ISOWEEKNUM(export?format_csv_gid_612082435[[#This Row],[Fecha]])</f>
        <v>19</v>
      </c>
      <c r="G11">
        <f>+YEAR(export?format_csv_gid_612082435[[#This Row],[Fecha]])</f>
        <v>2026</v>
      </c>
      <c r="H11" t="str">
        <f>+VLOOKUP(export?format_csv_gid_612082435[[#This Row],[Valor]],Listas!A:B,2,FALSE)</f>
        <v>No Remunerado</v>
      </c>
    </row>
    <row r="12" spans="1:8" hidden="1" x14ac:dyDescent="0.3">
      <c r="A12" t="s">
        <v>72</v>
      </c>
      <c r="B12" t="s">
        <v>73</v>
      </c>
      <c r="C12" t="s">
        <v>74</v>
      </c>
      <c r="D12" s="19">
        <v>46153</v>
      </c>
      <c r="E12" t="s">
        <v>76</v>
      </c>
      <c r="F12">
        <f>+_xlfn.ISOWEEKNUM(export?format_csv_gid_612082435[[#This Row],[Fecha]])</f>
        <v>20</v>
      </c>
      <c r="G12">
        <f>+YEAR(export?format_csv_gid_612082435[[#This Row],[Fecha]])</f>
        <v>2026</v>
      </c>
      <c r="H12" t="str">
        <f>+VLOOKUP(export?format_csv_gid_612082435[[#This Row],[Valor]],Listas!A:B,2,FALSE)</f>
        <v>Asistencia</v>
      </c>
    </row>
    <row r="13" spans="1:8" hidden="1" x14ac:dyDescent="0.3">
      <c r="A13" t="s">
        <v>72</v>
      </c>
      <c r="B13" t="s">
        <v>73</v>
      </c>
      <c r="C13" t="s">
        <v>74</v>
      </c>
      <c r="D13" s="19">
        <v>46154</v>
      </c>
      <c r="E13" t="s">
        <v>75</v>
      </c>
      <c r="F13">
        <f>+_xlfn.ISOWEEKNUM(export?format_csv_gid_612082435[[#This Row],[Fecha]])</f>
        <v>20</v>
      </c>
      <c r="G13">
        <f>+YEAR(export?format_csv_gid_612082435[[#This Row],[Fecha]])</f>
        <v>2026</v>
      </c>
      <c r="H13" t="str">
        <f>+VLOOKUP(export?format_csv_gid_612082435[[#This Row],[Valor]],Listas!A:B,2,FALSE)</f>
        <v>No Remunerado</v>
      </c>
    </row>
    <row r="14" spans="1:8" hidden="1" x14ac:dyDescent="0.3">
      <c r="A14" t="s">
        <v>72</v>
      </c>
      <c r="B14" t="s">
        <v>73</v>
      </c>
      <c r="C14" t="s">
        <v>74</v>
      </c>
      <c r="D14" s="19">
        <v>46155</v>
      </c>
      <c r="E14" t="s">
        <v>76</v>
      </c>
      <c r="F14">
        <f>+_xlfn.ISOWEEKNUM(export?format_csv_gid_612082435[[#This Row],[Fecha]])</f>
        <v>20</v>
      </c>
      <c r="G14">
        <f>+YEAR(export?format_csv_gid_612082435[[#This Row],[Fecha]])</f>
        <v>2026</v>
      </c>
      <c r="H14" t="str">
        <f>+VLOOKUP(export?format_csv_gid_612082435[[#This Row],[Valor]],Listas!A:B,2,FALSE)</f>
        <v>Asistencia</v>
      </c>
    </row>
    <row r="15" spans="1:8" hidden="1" x14ac:dyDescent="0.3">
      <c r="A15" t="s">
        <v>72</v>
      </c>
      <c r="B15" t="s">
        <v>73</v>
      </c>
      <c r="C15" t="s">
        <v>74</v>
      </c>
      <c r="D15" s="19">
        <v>46156</v>
      </c>
      <c r="E15" t="s">
        <v>76</v>
      </c>
      <c r="F15">
        <f>+_xlfn.ISOWEEKNUM(export?format_csv_gid_612082435[[#This Row],[Fecha]])</f>
        <v>20</v>
      </c>
      <c r="G15">
        <f>+YEAR(export?format_csv_gid_612082435[[#This Row],[Fecha]])</f>
        <v>2026</v>
      </c>
      <c r="H15" t="str">
        <f>+VLOOKUP(export?format_csv_gid_612082435[[#This Row],[Valor]],Listas!A:B,2,FALSE)</f>
        <v>Asistencia</v>
      </c>
    </row>
    <row r="16" spans="1:8" hidden="1" x14ac:dyDescent="0.3">
      <c r="A16" t="s">
        <v>72</v>
      </c>
      <c r="B16" t="s">
        <v>73</v>
      </c>
      <c r="C16" t="s">
        <v>74</v>
      </c>
      <c r="D16" s="19">
        <v>46157</v>
      </c>
      <c r="E16" t="s">
        <v>76</v>
      </c>
      <c r="F16">
        <f>+_xlfn.ISOWEEKNUM(export?format_csv_gid_612082435[[#This Row],[Fecha]])</f>
        <v>20</v>
      </c>
      <c r="G16">
        <f>+YEAR(export?format_csv_gid_612082435[[#This Row],[Fecha]])</f>
        <v>2026</v>
      </c>
      <c r="H16" t="str">
        <f>+VLOOKUP(export?format_csv_gid_612082435[[#This Row],[Valor]],Listas!A:B,2,FALSE)</f>
        <v>Asistencia</v>
      </c>
    </row>
    <row r="17" spans="1:8" hidden="1" x14ac:dyDescent="0.3">
      <c r="A17" t="s">
        <v>72</v>
      </c>
      <c r="B17" t="s">
        <v>73</v>
      </c>
      <c r="C17" t="s">
        <v>74</v>
      </c>
      <c r="D17" s="19">
        <v>46158</v>
      </c>
      <c r="E17" t="s">
        <v>77</v>
      </c>
      <c r="F17">
        <f>+_xlfn.ISOWEEKNUM(export?format_csv_gid_612082435[[#This Row],[Fecha]])</f>
        <v>20</v>
      </c>
      <c r="G17">
        <f>+YEAR(export?format_csv_gid_612082435[[#This Row],[Fecha]])</f>
        <v>2026</v>
      </c>
      <c r="H17" t="e">
        <f>+VLOOKUP(export?format_csv_gid_612082435[[#This Row],[Valor]],Listas!A:B,2,FALSE)</f>
        <v>#N/A</v>
      </c>
    </row>
    <row r="18" spans="1:8" hidden="1" x14ac:dyDescent="0.3">
      <c r="A18" t="s">
        <v>72</v>
      </c>
      <c r="B18" t="s">
        <v>73</v>
      </c>
      <c r="C18" t="s">
        <v>74</v>
      </c>
      <c r="D18" s="19">
        <v>46159</v>
      </c>
      <c r="E18" t="s">
        <v>77</v>
      </c>
      <c r="F18">
        <f>+_xlfn.ISOWEEKNUM(export?format_csv_gid_612082435[[#This Row],[Fecha]])</f>
        <v>20</v>
      </c>
      <c r="G18">
        <f>+YEAR(export?format_csv_gid_612082435[[#This Row],[Fecha]])</f>
        <v>2026</v>
      </c>
      <c r="H18" t="e">
        <f>+VLOOKUP(export?format_csv_gid_612082435[[#This Row],[Valor]],Listas!A:B,2,FALSE)</f>
        <v>#N/A</v>
      </c>
    </row>
    <row r="19" spans="1:8" hidden="1" x14ac:dyDescent="0.3">
      <c r="A19" t="s">
        <v>72</v>
      </c>
      <c r="B19" t="s">
        <v>73</v>
      </c>
      <c r="C19" t="s">
        <v>74</v>
      </c>
      <c r="D19" s="19">
        <v>46160</v>
      </c>
      <c r="E19" t="s">
        <v>77</v>
      </c>
      <c r="F19">
        <f>+_xlfn.ISOWEEKNUM(export?format_csv_gid_612082435[[#This Row],[Fecha]])</f>
        <v>21</v>
      </c>
      <c r="G19">
        <f>+YEAR(export?format_csv_gid_612082435[[#This Row],[Fecha]])</f>
        <v>2026</v>
      </c>
      <c r="H19" t="e">
        <f>+VLOOKUP(export?format_csv_gid_612082435[[#This Row],[Valor]],Listas!A:B,2,FALSE)</f>
        <v>#N/A</v>
      </c>
    </row>
    <row r="20" spans="1:8" hidden="1" x14ac:dyDescent="0.3">
      <c r="A20" t="s">
        <v>72</v>
      </c>
      <c r="B20" t="s">
        <v>73</v>
      </c>
      <c r="C20" t="s">
        <v>74</v>
      </c>
      <c r="D20" s="19">
        <v>46161</v>
      </c>
      <c r="E20" t="s">
        <v>77</v>
      </c>
      <c r="F20">
        <f>+_xlfn.ISOWEEKNUM(export?format_csv_gid_612082435[[#This Row],[Fecha]])</f>
        <v>21</v>
      </c>
      <c r="G20">
        <f>+YEAR(export?format_csv_gid_612082435[[#This Row],[Fecha]])</f>
        <v>2026</v>
      </c>
      <c r="H20" t="e">
        <f>+VLOOKUP(export?format_csv_gid_612082435[[#This Row],[Valor]],Listas!A:B,2,FALSE)</f>
        <v>#N/A</v>
      </c>
    </row>
    <row r="21" spans="1:8" hidden="1" x14ac:dyDescent="0.3">
      <c r="A21" t="s">
        <v>72</v>
      </c>
      <c r="B21" t="s">
        <v>73</v>
      </c>
      <c r="C21" t="s">
        <v>74</v>
      </c>
      <c r="D21" s="19">
        <v>46162</v>
      </c>
      <c r="E21" t="s">
        <v>77</v>
      </c>
      <c r="F21">
        <f>+_xlfn.ISOWEEKNUM(export?format_csv_gid_612082435[[#This Row],[Fecha]])</f>
        <v>21</v>
      </c>
      <c r="G21">
        <f>+YEAR(export?format_csv_gid_612082435[[#This Row],[Fecha]])</f>
        <v>2026</v>
      </c>
      <c r="H21" t="e">
        <f>+VLOOKUP(export?format_csv_gid_612082435[[#This Row],[Valor]],Listas!A:B,2,FALSE)</f>
        <v>#N/A</v>
      </c>
    </row>
    <row r="22" spans="1:8" hidden="1" x14ac:dyDescent="0.3">
      <c r="A22" t="s">
        <v>72</v>
      </c>
      <c r="B22" t="s">
        <v>73</v>
      </c>
      <c r="C22" t="s">
        <v>74</v>
      </c>
      <c r="D22" s="19">
        <v>46163</v>
      </c>
      <c r="E22" t="s">
        <v>77</v>
      </c>
      <c r="F22">
        <f>+_xlfn.ISOWEEKNUM(export?format_csv_gid_612082435[[#This Row],[Fecha]])</f>
        <v>21</v>
      </c>
      <c r="G22">
        <f>+YEAR(export?format_csv_gid_612082435[[#This Row],[Fecha]])</f>
        <v>2026</v>
      </c>
      <c r="H22" t="e">
        <f>+VLOOKUP(export?format_csv_gid_612082435[[#This Row],[Valor]],Listas!A:B,2,FALSE)</f>
        <v>#N/A</v>
      </c>
    </row>
    <row r="23" spans="1:8" hidden="1" x14ac:dyDescent="0.3">
      <c r="A23" t="s">
        <v>72</v>
      </c>
      <c r="B23" t="s">
        <v>73</v>
      </c>
      <c r="C23" t="s">
        <v>74</v>
      </c>
      <c r="D23" s="19">
        <v>46164</v>
      </c>
      <c r="E23" t="s">
        <v>77</v>
      </c>
      <c r="F23">
        <f>+_xlfn.ISOWEEKNUM(export?format_csv_gid_612082435[[#This Row],[Fecha]])</f>
        <v>21</v>
      </c>
      <c r="G23">
        <f>+YEAR(export?format_csv_gid_612082435[[#This Row],[Fecha]])</f>
        <v>2026</v>
      </c>
      <c r="H23" t="e">
        <f>+VLOOKUP(export?format_csv_gid_612082435[[#This Row],[Valor]],Listas!A:B,2,FALSE)</f>
        <v>#N/A</v>
      </c>
    </row>
    <row r="24" spans="1:8" hidden="1" x14ac:dyDescent="0.3">
      <c r="A24" t="s">
        <v>72</v>
      </c>
      <c r="B24" t="s">
        <v>73</v>
      </c>
      <c r="C24" t="s">
        <v>74</v>
      </c>
      <c r="D24" s="19">
        <v>46165</v>
      </c>
      <c r="E24" t="s">
        <v>77</v>
      </c>
      <c r="F24">
        <f>+_xlfn.ISOWEEKNUM(export?format_csv_gid_612082435[[#This Row],[Fecha]])</f>
        <v>21</v>
      </c>
      <c r="G24">
        <f>+YEAR(export?format_csv_gid_612082435[[#This Row],[Fecha]])</f>
        <v>2026</v>
      </c>
      <c r="H24" t="e">
        <f>+VLOOKUP(export?format_csv_gid_612082435[[#This Row],[Valor]],Listas!A:B,2,FALSE)</f>
        <v>#N/A</v>
      </c>
    </row>
    <row r="25" spans="1:8" hidden="1" x14ac:dyDescent="0.3">
      <c r="A25" t="s">
        <v>72</v>
      </c>
      <c r="B25" t="s">
        <v>73</v>
      </c>
      <c r="C25" t="s">
        <v>74</v>
      </c>
      <c r="D25" s="19">
        <v>46166</v>
      </c>
      <c r="E25" t="s">
        <v>77</v>
      </c>
      <c r="F25">
        <f>+_xlfn.ISOWEEKNUM(export?format_csv_gid_612082435[[#This Row],[Fecha]])</f>
        <v>21</v>
      </c>
      <c r="G25">
        <f>+YEAR(export?format_csv_gid_612082435[[#This Row],[Fecha]])</f>
        <v>2026</v>
      </c>
      <c r="H25" t="e">
        <f>+VLOOKUP(export?format_csv_gid_612082435[[#This Row],[Valor]],Listas!A:B,2,FALSE)</f>
        <v>#N/A</v>
      </c>
    </row>
    <row r="26" spans="1:8" hidden="1" x14ac:dyDescent="0.3">
      <c r="A26" t="s">
        <v>72</v>
      </c>
      <c r="B26" t="s">
        <v>73</v>
      </c>
      <c r="C26" t="s">
        <v>74</v>
      </c>
      <c r="D26" s="19">
        <v>46167</v>
      </c>
      <c r="E26" t="s">
        <v>77</v>
      </c>
      <c r="F26">
        <f>+_xlfn.ISOWEEKNUM(export?format_csv_gid_612082435[[#This Row],[Fecha]])</f>
        <v>22</v>
      </c>
      <c r="G26">
        <f>+YEAR(export?format_csv_gid_612082435[[#This Row],[Fecha]])</f>
        <v>2026</v>
      </c>
      <c r="H26" t="e">
        <f>+VLOOKUP(export?format_csv_gid_612082435[[#This Row],[Valor]],Listas!A:B,2,FALSE)</f>
        <v>#N/A</v>
      </c>
    </row>
    <row r="27" spans="1:8" hidden="1" x14ac:dyDescent="0.3">
      <c r="A27" t="s">
        <v>72</v>
      </c>
      <c r="B27" t="s">
        <v>73</v>
      </c>
      <c r="C27" t="s">
        <v>74</v>
      </c>
      <c r="D27" s="19">
        <v>46168</v>
      </c>
      <c r="E27" t="s">
        <v>77</v>
      </c>
      <c r="F27">
        <f>+_xlfn.ISOWEEKNUM(export?format_csv_gid_612082435[[#This Row],[Fecha]])</f>
        <v>22</v>
      </c>
      <c r="G27">
        <f>+YEAR(export?format_csv_gid_612082435[[#This Row],[Fecha]])</f>
        <v>2026</v>
      </c>
      <c r="H27" t="e">
        <f>+VLOOKUP(export?format_csv_gid_612082435[[#This Row],[Valor]],Listas!A:B,2,FALSE)</f>
        <v>#N/A</v>
      </c>
    </row>
    <row r="28" spans="1:8" hidden="1" x14ac:dyDescent="0.3">
      <c r="A28" t="s">
        <v>72</v>
      </c>
      <c r="B28" t="s">
        <v>73</v>
      </c>
      <c r="C28" t="s">
        <v>74</v>
      </c>
      <c r="D28" s="19">
        <v>46169</v>
      </c>
      <c r="E28" t="s">
        <v>77</v>
      </c>
      <c r="F28">
        <f>+_xlfn.ISOWEEKNUM(export?format_csv_gid_612082435[[#This Row],[Fecha]])</f>
        <v>22</v>
      </c>
      <c r="G28">
        <f>+YEAR(export?format_csv_gid_612082435[[#This Row],[Fecha]])</f>
        <v>2026</v>
      </c>
      <c r="H28" t="e">
        <f>+VLOOKUP(export?format_csv_gid_612082435[[#This Row],[Valor]],Listas!A:B,2,FALSE)</f>
        <v>#N/A</v>
      </c>
    </row>
    <row r="29" spans="1:8" hidden="1" x14ac:dyDescent="0.3">
      <c r="A29" t="s">
        <v>72</v>
      </c>
      <c r="B29" t="s">
        <v>73</v>
      </c>
      <c r="C29" t="s">
        <v>74</v>
      </c>
      <c r="D29" s="19">
        <v>46170</v>
      </c>
      <c r="E29" t="s">
        <v>77</v>
      </c>
      <c r="F29">
        <f>+_xlfn.ISOWEEKNUM(export?format_csv_gid_612082435[[#This Row],[Fecha]])</f>
        <v>22</v>
      </c>
      <c r="G29">
        <f>+YEAR(export?format_csv_gid_612082435[[#This Row],[Fecha]])</f>
        <v>2026</v>
      </c>
      <c r="H29" t="e">
        <f>+VLOOKUP(export?format_csv_gid_612082435[[#This Row],[Valor]],Listas!A:B,2,FALSE)</f>
        <v>#N/A</v>
      </c>
    </row>
    <row r="30" spans="1:8" hidden="1" x14ac:dyDescent="0.3">
      <c r="A30" t="s">
        <v>72</v>
      </c>
      <c r="B30" t="s">
        <v>73</v>
      </c>
      <c r="C30" t="s">
        <v>74</v>
      </c>
      <c r="D30" s="19">
        <v>46171</v>
      </c>
      <c r="E30" t="s">
        <v>77</v>
      </c>
      <c r="F30">
        <f>+_xlfn.ISOWEEKNUM(export?format_csv_gid_612082435[[#This Row],[Fecha]])</f>
        <v>22</v>
      </c>
      <c r="G30">
        <f>+YEAR(export?format_csv_gid_612082435[[#This Row],[Fecha]])</f>
        <v>2026</v>
      </c>
      <c r="H30" t="e">
        <f>+VLOOKUP(export?format_csv_gid_612082435[[#This Row],[Valor]],Listas!A:B,2,FALSE)</f>
        <v>#N/A</v>
      </c>
    </row>
    <row r="31" spans="1:8" hidden="1" x14ac:dyDescent="0.3">
      <c r="A31" t="s">
        <v>72</v>
      </c>
      <c r="B31" t="s">
        <v>73</v>
      </c>
      <c r="C31" t="s">
        <v>74</v>
      </c>
      <c r="D31" s="19">
        <v>46172</v>
      </c>
      <c r="E31" t="s">
        <v>77</v>
      </c>
      <c r="F31">
        <f>+_xlfn.ISOWEEKNUM(export?format_csv_gid_612082435[[#This Row],[Fecha]])</f>
        <v>22</v>
      </c>
      <c r="G31">
        <f>+YEAR(export?format_csv_gid_612082435[[#This Row],[Fecha]])</f>
        <v>2026</v>
      </c>
      <c r="H31" t="e">
        <f>+VLOOKUP(export?format_csv_gid_612082435[[#This Row],[Valor]],Listas!A:B,2,FALSE)</f>
        <v>#N/A</v>
      </c>
    </row>
    <row r="32" spans="1:8" hidden="1" x14ac:dyDescent="0.3">
      <c r="A32" t="s">
        <v>72</v>
      </c>
      <c r="B32" t="s">
        <v>73</v>
      </c>
      <c r="C32" t="s">
        <v>74</v>
      </c>
      <c r="D32" s="19">
        <v>46173</v>
      </c>
      <c r="E32" t="s">
        <v>77</v>
      </c>
      <c r="F32">
        <f>+_xlfn.ISOWEEKNUM(export?format_csv_gid_612082435[[#This Row],[Fecha]])</f>
        <v>22</v>
      </c>
      <c r="G32">
        <f>+YEAR(export?format_csv_gid_612082435[[#This Row],[Fecha]])</f>
        <v>2026</v>
      </c>
      <c r="H32" t="e">
        <f>+VLOOKUP(export?format_csv_gid_612082435[[#This Row],[Valor]],Listas!A:B,2,FALSE)</f>
        <v>#N/A</v>
      </c>
    </row>
    <row r="33" spans="1:8" hidden="1" x14ac:dyDescent="0.3">
      <c r="A33" t="s">
        <v>72</v>
      </c>
      <c r="B33" t="s">
        <v>73</v>
      </c>
      <c r="C33" t="s">
        <v>147</v>
      </c>
      <c r="D33" s="19">
        <v>46143</v>
      </c>
      <c r="E33" t="s">
        <v>76</v>
      </c>
      <c r="F33">
        <f>+_xlfn.ISOWEEKNUM(export?format_csv_gid_612082435[[#This Row],[Fecha]])</f>
        <v>18</v>
      </c>
      <c r="G33">
        <f>+YEAR(export?format_csv_gid_612082435[[#This Row],[Fecha]])</f>
        <v>2026</v>
      </c>
      <c r="H33" t="str">
        <f>+VLOOKUP(export?format_csv_gid_612082435[[#This Row],[Valor]],Listas!A:B,2,FALSE)</f>
        <v>Asistencia</v>
      </c>
    </row>
    <row r="34" spans="1:8" hidden="1" x14ac:dyDescent="0.3">
      <c r="A34" t="s">
        <v>72</v>
      </c>
      <c r="B34" t="s">
        <v>73</v>
      </c>
      <c r="C34" t="s">
        <v>147</v>
      </c>
      <c r="D34" s="19">
        <v>46144</v>
      </c>
      <c r="E34" t="s">
        <v>76</v>
      </c>
      <c r="F34">
        <f>+_xlfn.ISOWEEKNUM(export?format_csv_gid_612082435[[#This Row],[Fecha]])</f>
        <v>18</v>
      </c>
      <c r="G34">
        <f>+YEAR(export?format_csv_gid_612082435[[#This Row],[Fecha]])</f>
        <v>2026</v>
      </c>
      <c r="H34" t="str">
        <f>+VLOOKUP(export?format_csv_gid_612082435[[#This Row],[Valor]],Listas!A:B,2,FALSE)</f>
        <v>Asistencia</v>
      </c>
    </row>
    <row r="35" spans="1:8" hidden="1" x14ac:dyDescent="0.3">
      <c r="A35" t="s">
        <v>72</v>
      </c>
      <c r="B35" t="s">
        <v>73</v>
      </c>
      <c r="C35" t="s">
        <v>147</v>
      </c>
      <c r="D35" s="19">
        <v>46145</v>
      </c>
      <c r="E35" t="s">
        <v>76</v>
      </c>
      <c r="F35">
        <f>+_xlfn.ISOWEEKNUM(export?format_csv_gid_612082435[[#This Row],[Fecha]])</f>
        <v>18</v>
      </c>
      <c r="G35">
        <f>+YEAR(export?format_csv_gid_612082435[[#This Row],[Fecha]])</f>
        <v>2026</v>
      </c>
      <c r="H35" t="str">
        <f>+VLOOKUP(export?format_csv_gid_612082435[[#This Row],[Valor]],Listas!A:B,2,FALSE)</f>
        <v>Asistencia</v>
      </c>
    </row>
    <row r="36" spans="1:8" hidden="1" x14ac:dyDescent="0.3">
      <c r="A36" t="s">
        <v>72</v>
      </c>
      <c r="B36" t="s">
        <v>73</v>
      </c>
      <c r="C36" t="s">
        <v>147</v>
      </c>
      <c r="D36" s="19">
        <v>46146</v>
      </c>
      <c r="E36" t="s">
        <v>76</v>
      </c>
      <c r="F36">
        <f>+_xlfn.ISOWEEKNUM(export?format_csv_gid_612082435[[#This Row],[Fecha]])</f>
        <v>19</v>
      </c>
      <c r="G36">
        <f>+YEAR(export?format_csv_gid_612082435[[#This Row],[Fecha]])</f>
        <v>2026</v>
      </c>
      <c r="H36" t="str">
        <f>+VLOOKUP(export?format_csv_gid_612082435[[#This Row],[Valor]],Listas!A:B,2,FALSE)</f>
        <v>Asistencia</v>
      </c>
    </row>
    <row r="37" spans="1:8" hidden="1" x14ac:dyDescent="0.3">
      <c r="A37" t="s">
        <v>72</v>
      </c>
      <c r="B37" t="s">
        <v>73</v>
      </c>
      <c r="C37" t="s">
        <v>147</v>
      </c>
      <c r="D37" s="19">
        <v>46147</v>
      </c>
      <c r="E37" t="s">
        <v>76</v>
      </c>
      <c r="F37">
        <f>+_xlfn.ISOWEEKNUM(export?format_csv_gid_612082435[[#This Row],[Fecha]])</f>
        <v>19</v>
      </c>
      <c r="G37">
        <f>+YEAR(export?format_csv_gid_612082435[[#This Row],[Fecha]])</f>
        <v>2026</v>
      </c>
      <c r="H37" t="str">
        <f>+VLOOKUP(export?format_csv_gid_612082435[[#This Row],[Valor]],Listas!A:B,2,FALSE)</f>
        <v>Asistencia</v>
      </c>
    </row>
    <row r="38" spans="1:8" hidden="1" x14ac:dyDescent="0.3">
      <c r="A38" t="s">
        <v>72</v>
      </c>
      <c r="B38" t="s">
        <v>73</v>
      </c>
      <c r="C38" t="s">
        <v>147</v>
      </c>
      <c r="D38" s="19">
        <v>46148</v>
      </c>
      <c r="E38" t="s">
        <v>76</v>
      </c>
      <c r="F38">
        <f>+_xlfn.ISOWEEKNUM(export?format_csv_gid_612082435[[#This Row],[Fecha]])</f>
        <v>19</v>
      </c>
      <c r="G38">
        <f>+YEAR(export?format_csv_gid_612082435[[#This Row],[Fecha]])</f>
        <v>2026</v>
      </c>
      <c r="H38" t="str">
        <f>+VLOOKUP(export?format_csv_gid_612082435[[#This Row],[Valor]],Listas!A:B,2,FALSE)</f>
        <v>Asistencia</v>
      </c>
    </row>
    <row r="39" spans="1:8" hidden="1" x14ac:dyDescent="0.3">
      <c r="A39" t="s">
        <v>72</v>
      </c>
      <c r="B39" t="s">
        <v>73</v>
      </c>
      <c r="C39" t="s">
        <v>147</v>
      </c>
      <c r="D39" s="19">
        <v>46149</v>
      </c>
      <c r="E39" t="s">
        <v>76</v>
      </c>
      <c r="F39">
        <f>+_xlfn.ISOWEEKNUM(export?format_csv_gid_612082435[[#This Row],[Fecha]])</f>
        <v>19</v>
      </c>
      <c r="G39">
        <f>+YEAR(export?format_csv_gid_612082435[[#This Row],[Fecha]])</f>
        <v>2026</v>
      </c>
      <c r="H39" t="str">
        <f>+VLOOKUP(export?format_csv_gid_612082435[[#This Row],[Valor]],Listas!A:B,2,FALSE)</f>
        <v>Asistencia</v>
      </c>
    </row>
    <row r="40" spans="1:8" hidden="1" x14ac:dyDescent="0.3">
      <c r="A40" t="s">
        <v>72</v>
      </c>
      <c r="B40" t="s">
        <v>73</v>
      </c>
      <c r="C40" t="s">
        <v>147</v>
      </c>
      <c r="D40" s="19">
        <v>46150</v>
      </c>
      <c r="E40" t="s">
        <v>76</v>
      </c>
      <c r="F40">
        <f>+_xlfn.ISOWEEKNUM(export?format_csv_gid_612082435[[#This Row],[Fecha]])</f>
        <v>19</v>
      </c>
      <c r="G40">
        <f>+YEAR(export?format_csv_gid_612082435[[#This Row],[Fecha]])</f>
        <v>2026</v>
      </c>
      <c r="H40" t="str">
        <f>+VLOOKUP(export?format_csv_gid_612082435[[#This Row],[Valor]],Listas!A:B,2,FALSE)</f>
        <v>Asistencia</v>
      </c>
    </row>
    <row r="41" spans="1:8" hidden="1" x14ac:dyDescent="0.3">
      <c r="A41" t="s">
        <v>72</v>
      </c>
      <c r="B41" t="s">
        <v>73</v>
      </c>
      <c r="C41" t="s">
        <v>147</v>
      </c>
      <c r="D41" s="19">
        <v>46151</v>
      </c>
      <c r="E41" t="s">
        <v>76</v>
      </c>
      <c r="F41">
        <f>+_xlfn.ISOWEEKNUM(export?format_csv_gid_612082435[[#This Row],[Fecha]])</f>
        <v>19</v>
      </c>
      <c r="G41">
        <f>+YEAR(export?format_csv_gid_612082435[[#This Row],[Fecha]])</f>
        <v>2026</v>
      </c>
      <c r="H41" t="str">
        <f>+VLOOKUP(export?format_csv_gid_612082435[[#This Row],[Valor]],Listas!A:B,2,FALSE)</f>
        <v>Asistencia</v>
      </c>
    </row>
    <row r="42" spans="1:8" hidden="1" x14ac:dyDescent="0.3">
      <c r="A42" t="s">
        <v>72</v>
      </c>
      <c r="B42" t="s">
        <v>73</v>
      </c>
      <c r="C42" t="s">
        <v>147</v>
      </c>
      <c r="D42" s="19">
        <v>46152</v>
      </c>
      <c r="E42" t="s">
        <v>113</v>
      </c>
      <c r="F42">
        <f>+_xlfn.ISOWEEKNUM(export?format_csv_gid_612082435[[#This Row],[Fecha]])</f>
        <v>19</v>
      </c>
      <c r="G42">
        <f>+YEAR(export?format_csv_gid_612082435[[#This Row],[Fecha]])</f>
        <v>2026</v>
      </c>
      <c r="H42" t="str">
        <f>+VLOOKUP(export?format_csv_gid_612082435[[#This Row],[Valor]],Listas!A:B,2,FALSE)</f>
        <v>D. Remunerado</v>
      </c>
    </row>
    <row r="43" spans="1:8" hidden="1" x14ac:dyDescent="0.3">
      <c r="A43" t="s">
        <v>72</v>
      </c>
      <c r="B43" t="s">
        <v>73</v>
      </c>
      <c r="C43" t="s">
        <v>147</v>
      </c>
      <c r="D43" s="19">
        <v>46153</v>
      </c>
      <c r="E43" t="s">
        <v>76</v>
      </c>
      <c r="F43">
        <f>+_xlfn.ISOWEEKNUM(export?format_csv_gid_612082435[[#This Row],[Fecha]])</f>
        <v>20</v>
      </c>
      <c r="G43">
        <f>+YEAR(export?format_csv_gid_612082435[[#This Row],[Fecha]])</f>
        <v>2026</v>
      </c>
      <c r="H43" t="str">
        <f>+VLOOKUP(export?format_csv_gid_612082435[[#This Row],[Valor]],Listas!A:B,2,FALSE)</f>
        <v>Asistencia</v>
      </c>
    </row>
    <row r="44" spans="1:8" hidden="1" x14ac:dyDescent="0.3">
      <c r="A44" t="s">
        <v>72</v>
      </c>
      <c r="B44" t="s">
        <v>73</v>
      </c>
      <c r="C44" t="s">
        <v>147</v>
      </c>
      <c r="D44" s="19">
        <v>46154</v>
      </c>
      <c r="E44" t="s">
        <v>76</v>
      </c>
      <c r="F44">
        <f>+_xlfn.ISOWEEKNUM(export?format_csv_gid_612082435[[#This Row],[Fecha]])</f>
        <v>20</v>
      </c>
      <c r="G44">
        <f>+YEAR(export?format_csv_gid_612082435[[#This Row],[Fecha]])</f>
        <v>2026</v>
      </c>
      <c r="H44" t="str">
        <f>+VLOOKUP(export?format_csv_gid_612082435[[#This Row],[Valor]],Listas!A:B,2,FALSE)</f>
        <v>Asistencia</v>
      </c>
    </row>
    <row r="45" spans="1:8" hidden="1" x14ac:dyDescent="0.3">
      <c r="A45" t="s">
        <v>72</v>
      </c>
      <c r="B45" t="s">
        <v>73</v>
      </c>
      <c r="C45" t="s">
        <v>147</v>
      </c>
      <c r="D45" s="19">
        <v>46155</v>
      </c>
      <c r="E45" t="s">
        <v>76</v>
      </c>
      <c r="F45">
        <f>+_xlfn.ISOWEEKNUM(export?format_csv_gid_612082435[[#This Row],[Fecha]])</f>
        <v>20</v>
      </c>
      <c r="G45">
        <f>+YEAR(export?format_csv_gid_612082435[[#This Row],[Fecha]])</f>
        <v>2026</v>
      </c>
      <c r="H45" t="str">
        <f>+VLOOKUP(export?format_csv_gid_612082435[[#This Row],[Valor]],Listas!A:B,2,FALSE)</f>
        <v>Asistencia</v>
      </c>
    </row>
    <row r="46" spans="1:8" hidden="1" x14ac:dyDescent="0.3">
      <c r="A46" t="s">
        <v>72</v>
      </c>
      <c r="B46" t="s">
        <v>73</v>
      </c>
      <c r="C46" t="s">
        <v>147</v>
      </c>
      <c r="D46" s="19">
        <v>46156</v>
      </c>
      <c r="E46" t="s">
        <v>76</v>
      </c>
      <c r="F46">
        <f>+_xlfn.ISOWEEKNUM(export?format_csv_gid_612082435[[#This Row],[Fecha]])</f>
        <v>20</v>
      </c>
      <c r="G46">
        <f>+YEAR(export?format_csv_gid_612082435[[#This Row],[Fecha]])</f>
        <v>2026</v>
      </c>
      <c r="H46" t="str">
        <f>+VLOOKUP(export?format_csv_gid_612082435[[#This Row],[Valor]],Listas!A:B,2,FALSE)</f>
        <v>Asistencia</v>
      </c>
    </row>
    <row r="47" spans="1:8" hidden="1" x14ac:dyDescent="0.3">
      <c r="A47" t="s">
        <v>72</v>
      </c>
      <c r="B47" t="s">
        <v>73</v>
      </c>
      <c r="C47" t="s">
        <v>147</v>
      </c>
      <c r="D47" s="19">
        <v>46157</v>
      </c>
      <c r="E47" t="s">
        <v>76</v>
      </c>
      <c r="F47">
        <f>+_xlfn.ISOWEEKNUM(export?format_csv_gid_612082435[[#This Row],[Fecha]])</f>
        <v>20</v>
      </c>
      <c r="G47">
        <f>+YEAR(export?format_csv_gid_612082435[[#This Row],[Fecha]])</f>
        <v>2026</v>
      </c>
      <c r="H47" t="str">
        <f>+VLOOKUP(export?format_csv_gid_612082435[[#This Row],[Valor]],Listas!A:B,2,FALSE)</f>
        <v>Asistencia</v>
      </c>
    </row>
    <row r="48" spans="1:8" hidden="1" x14ac:dyDescent="0.3">
      <c r="A48" t="s">
        <v>72</v>
      </c>
      <c r="B48" t="s">
        <v>73</v>
      </c>
      <c r="C48" t="s">
        <v>147</v>
      </c>
      <c r="D48" s="19">
        <v>46158</v>
      </c>
      <c r="E48" t="s">
        <v>77</v>
      </c>
      <c r="F48">
        <f>+_xlfn.ISOWEEKNUM(export?format_csv_gid_612082435[[#This Row],[Fecha]])</f>
        <v>20</v>
      </c>
      <c r="G48">
        <f>+YEAR(export?format_csv_gid_612082435[[#This Row],[Fecha]])</f>
        <v>2026</v>
      </c>
      <c r="H48" t="e">
        <f>+VLOOKUP(export?format_csv_gid_612082435[[#This Row],[Valor]],Listas!A:B,2,FALSE)</f>
        <v>#N/A</v>
      </c>
    </row>
    <row r="49" spans="1:8" hidden="1" x14ac:dyDescent="0.3">
      <c r="A49" t="s">
        <v>72</v>
      </c>
      <c r="B49" t="s">
        <v>73</v>
      </c>
      <c r="C49" t="s">
        <v>147</v>
      </c>
      <c r="D49" s="19">
        <v>46159</v>
      </c>
      <c r="E49" t="s">
        <v>77</v>
      </c>
      <c r="F49">
        <f>+_xlfn.ISOWEEKNUM(export?format_csv_gid_612082435[[#This Row],[Fecha]])</f>
        <v>20</v>
      </c>
      <c r="G49">
        <f>+YEAR(export?format_csv_gid_612082435[[#This Row],[Fecha]])</f>
        <v>2026</v>
      </c>
      <c r="H49" t="e">
        <f>+VLOOKUP(export?format_csv_gid_612082435[[#This Row],[Valor]],Listas!A:B,2,FALSE)</f>
        <v>#N/A</v>
      </c>
    </row>
    <row r="50" spans="1:8" hidden="1" x14ac:dyDescent="0.3">
      <c r="A50" t="s">
        <v>72</v>
      </c>
      <c r="B50" t="s">
        <v>73</v>
      </c>
      <c r="C50" t="s">
        <v>147</v>
      </c>
      <c r="D50" s="19">
        <v>46160</v>
      </c>
      <c r="E50" t="s">
        <v>77</v>
      </c>
      <c r="F50">
        <f>+_xlfn.ISOWEEKNUM(export?format_csv_gid_612082435[[#This Row],[Fecha]])</f>
        <v>21</v>
      </c>
      <c r="G50">
        <f>+YEAR(export?format_csv_gid_612082435[[#This Row],[Fecha]])</f>
        <v>2026</v>
      </c>
      <c r="H50" t="e">
        <f>+VLOOKUP(export?format_csv_gid_612082435[[#This Row],[Valor]],Listas!A:B,2,FALSE)</f>
        <v>#N/A</v>
      </c>
    </row>
    <row r="51" spans="1:8" hidden="1" x14ac:dyDescent="0.3">
      <c r="A51" t="s">
        <v>72</v>
      </c>
      <c r="B51" t="s">
        <v>73</v>
      </c>
      <c r="C51" t="s">
        <v>147</v>
      </c>
      <c r="D51" s="19">
        <v>46161</v>
      </c>
      <c r="E51" t="s">
        <v>77</v>
      </c>
      <c r="F51">
        <f>+_xlfn.ISOWEEKNUM(export?format_csv_gid_612082435[[#This Row],[Fecha]])</f>
        <v>21</v>
      </c>
      <c r="G51">
        <f>+YEAR(export?format_csv_gid_612082435[[#This Row],[Fecha]])</f>
        <v>2026</v>
      </c>
      <c r="H51" t="e">
        <f>+VLOOKUP(export?format_csv_gid_612082435[[#This Row],[Valor]],Listas!A:B,2,FALSE)</f>
        <v>#N/A</v>
      </c>
    </row>
    <row r="52" spans="1:8" hidden="1" x14ac:dyDescent="0.3">
      <c r="A52" t="s">
        <v>72</v>
      </c>
      <c r="B52" t="s">
        <v>73</v>
      </c>
      <c r="C52" t="s">
        <v>147</v>
      </c>
      <c r="D52" s="19">
        <v>46162</v>
      </c>
      <c r="E52" t="s">
        <v>77</v>
      </c>
      <c r="F52">
        <f>+_xlfn.ISOWEEKNUM(export?format_csv_gid_612082435[[#This Row],[Fecha]])</f>
        <v>21</v>
      </c>
      <c r="G52">
        <f>+YEAR(export?format_csv_gid_612082435[[#This Row],[Fecha]])</f>
        <v>2026</v>
      </c>
      <c r="H52" t="e">
        <f>+VLOOKUP(export?format_csv_gid_612082435[[#This Row],[Valor]],Listas!A:B,2,FALSE)</f>
        <v>#N/A</v>
      </c>
    </row>
    <row r="53" spans="1:8" hidden="1" x14ac:dyDescent="0.3">
      <c r="A53" t="s">
        <v>72</v>
      </c>
      <c r="B53" t="s">
        <v>73</v>
      </c>
      <c r="C53" t="s">
        <v>147</v>
      </c>
      <c r="D53" s="19">
        <v>46163</v>
      </c>
      <c r="E53" t="s">
        <v>77</v>
      </c>
      <c r="F53">
        <f>+_xlfn.ISOWEEKNUM(export?format_csv_gid_612082435[[#This Row],[Fecha]])</f>
        <v>21</v>
      </c>
      <c r="G53">
        <f>+YEAR(export?format_csv_gid_612082435[[#This Row],[Fecha]])</f>
        <v>2026</v>
      </c>
      <c r="H53" t="e">
        <f>+VLOOKUP(export?format_csv_gid_612082435[[#This Row],[Valor]],Listas!A:B,2,FALSE)</f>
        <v>#N/A</v>
      </c>
    </row>
    <row r="54" spans="1:8" hidden="1" x14ac:dyDescent="0.3">
      <c r="A54" t="s">
        <v>72</v>
      </c>
      <c r="B54" t="s">
        <v>73</v>
      </c>
      <c r="C54" t="s">
        <v>147</v>
      </c>
      <c r="D54" s="19">
        <v>46164</v>
      </c>
      <c r="E54" t="s">
        <v>77</v>
      </c>
      <c r="F54">
        <f>+_xlfn.ISOWEEKNUM(export?format_csv_gid_612082435[[#This Row],[Fecha]])</f>
        <v>21</v>
      </c>
      <c r="G54">
        <f>+YEAR(export?format_csv_gid_612082435[[#This Row],[Fecha]])</f>
        <v>2026</v>
      </c>
      <c r="H54" t="e">
        <f>+VLOOKUP(export?format_csv_gid_612082435[[#This Row],[Valor]],Listas!A:B,2,FALSE)</f>
        <v>#N/A</v>
      </c>
    </row>
    <row r="55" spans="1:8" hidden="1" x14ac:dyDescent="0.3">
      <c r="A55" t="s">
        <v>72</v>
      </c>
      <c r="B55" t="s">
        <v>73</v>
      </c>
      <c r="C55" t="s">
        <v>147</v>
      </c>
      <c r="D55" s="19">
        <v>46165</v>
      </c>
      <c r="E55" t="s">
        <v>77</v>
      </c>
      <c r="F55">
        <f>+_xlfn.ISOWEEKNUM(export?format_csv_gid_612082435[[#This Row],[Fecha]])</f>
        <v>21</v>
      </c>
      <c r="G55">
        <f>+YEAR(export?format_csv_gid_612082435[[#This Row],[Fecha]])</f>
        <v>2026</v>
      </c>
      <c r="H55" t="e">
        <f>+VLOOKUP(export?format_csv_gid_612082435[[#This Row],[Valor]],Listas!A:B,2,FALSE)</f>
        <v>#N/A</v>
      </c>
    </row>
    <row r="56" spans="1:8" hidden="1" x14ac:dyDescent="0.3">
      <c r="A56" t="s">
        <v>72</v>
      </c>
      <c r="B56" t="s">
        <v>73</v>
      </c>
      <c r="C56" t="s">
        <v>147</v>
      </c>
      <c r="D56" s="19">
        <v>46166</v>
      </c>
      <c r="E56" t="s">
        <v>77</v>
      </c>
      <c r="F56">
        <f>+_xlfn.ISOWEEKNUM(export?format_csv_gid_612082435[[#This Row],[Fecha]])</f>
        <v>21</v>
      </c>
      <c r="G56">
        <f>+YEAR(export?format_csv_gid_612082435[[#This Row],[Fecha]])</f>
        <v>2026</v>
      </c>
      <c r="H56" t="e">
        <f>+VLOOKUP(export?format_csv_gid_612082435[[#This Row],[Valor]],Listas!A:B,2,FALSE)</f>
        <v>#N/A</v>
      </c>
    </row>
    <row r="57" spans="1:8" hidden="1" x14ac:dyDescent="0.3">
      <c r="A57" t="s">
        <v>72</v>
      </c>
      <c r="B57" t="s">
        <v>73</v>
      </c>
      <c r="C57" t="s">
        <v>147</v>
      </c>
      <c r="D57" s="19">
        <v>46167</v>
      </c>
      <c r="E57" t="s">
        <v>77</v>
      </c>
      <c r="F57">
        <f>+_xlfn.ISOWEEKNUM(export?format_csv_gid_612082435[[#This Row],[Fecha]])</f>
        <v>22</v>
      </c>
      <c r="G57">
        <f>+YEAR(export?format_csv_gid_612082435[[#This Row],[Fecha]])</f>
        <v>2026</v>
      </c>
      <c r="H57" t="e">
        <f>+VLOOKUP(export?format_csv_gid_612082435[[#This Row],[Valor]],Listas!A:B,2,FALSE)</f>
        <v>#N/A</v>
      </c>
    </row>
    <row r="58" spans="1:8" hidden="1" x14ac:dyDescent="0.3">
      <c r="A58" t="s">
        <v>72</v>
      </c>
      <c r="B58" t="s">
        <v>73</v>
      </c>
      <c r="C58" t="s">
        <v>147</v>
      </c>
      <c r="D58" s="19">
        <v>46168</v>
      </c>
      <c r="E58" t="s">
        <v>77</v>
      </c>
      <c r="F58">
        <f>+_xlfn.ISOWEEKNUM(export?format_csv_gid_612082435[[#This Row],[Fecha]])</f>
        <v>22</v>
      </c>
      <c r="G58">
        <f>+YEAR(export?format_csv_gid_612082435[[#This Row],[Fecha]])</f>
        <v>2026</v>
      </c>
      <c r="H58" t="e">
        <f>+VLOOKUP(export?format_csv_gid_612082435[[#This Row],[Valor]],Listas!A:B,2,FALSE)</f>
        <v>#N/A</v>
      </c>
    </row>
    <row r="59" spans="1:8" hidden="1" x14ac:dyDescent="0.3">
      <c r="A59" t="s">
        <v>72</v>
      </c>
      <c r="B59" t="s">
        <v>73</v>
      </c>
      <c r="C59" t="s">
        <v>147</v>
      </c>
      <c r="D59" s="19">
        <v>46169</v>
      </c>
      <c r="E59" t="s">
        <v>77</v>
      </c>
      <c r="F59">
        <f>+_xlfn.ISOWEEKNUM(export?format_csv_gid_612082435[[#This Row],[Fecha]])</f>
        <v>22</v>
      </c>
      <c r="G59">
        <f>+YEAR(export?format_csv_gid_612082435[[#This Row],[Fecha]])</f>
        <v>2026</v>
      </c>
      <c r="H59" t="e">
        <f>+VLOOKUP(export?format_csv_gid_612082435[[#This Row],[Valor]],Listas!A:B,2,FALSE)</f>
        <v>#N/A</v>
      </c>
    </row>
    <row r="60" spans="1:8" hidden="1" x14ac:dyDescent="0.3">
      <c r="A60" t="s">
        <v>72</v>
      </c>
      <c r="B60" t="s">
        <v>73</v>
      </c>
      <c r="C60" t="s">
        <v>147</v>
      </c>
      <c r="D60" s="19">
        <v>46170</v>
      </c>
      <c r="E60" t="s">
        <v>77</v>
      </c>
      <c r="F60">
        <f>+_xlfn.ISOWEEKNUM(export?format_csv_gid_612082435[[#This Row],[Fecha]])</f>
        <v>22</v>
      </c>
      <c r="G60">
        <f>+YEAR(export?format_csv_gid_612082435[[#This Row],[Fecha]])</f>
        <v>2026</v>
      </c>
      <c r="H60" t="e">
        <f>+VLOOKUP(export?format_csv_gid_612082435[[#This Row],[Valor]],Listas!A:B,2,FALSE)</f>
        <v>#N/A</v>
      </c>
    </row>
    <row r="61" spans="1:8" hidden="1" x14ac:dyDescent="0.3">
      <c r="A61" t="s">
        <v>72</v>
      </c>
      <c r="B61" t="s">
        <v>73</v>
      </c>
      <c r="C61" t="s">
        <v>147</v>
      </c>
      <c r="D61" s="19">
        <v>46171</v>
      </c>
      <c r="E61" t="s">
        <v>77</v>
      </c>
      <c r="F61">
        <f>+_xlfn.ISOWEEKNUM(export?format_csv_gid_612082435[[#This Row],[Fecha]])</f>
        <v>22</v>
      </c>
      <c r="G61">
        <f>+YEAR(export?format_csv_gid_612082435[[#This Row],[Fecha]])</f>
        <v>2026</v>
      </c>
      <c r="H61" t="e">
        <f>+VLOOKUP(export?format_csv_gid_612082435[[#This Row],[Valor]],Listas!A:B,2,FALSE)</f>
        <v>#N/A</v>
      </c>
    </row>
    <row r="62" spans="1:8" hidden="1" x14ac:dyDescent="0.3">
      <c r="A62" t="s">
        <v>72</v>
      </c>
      <c r="B62" t="s">
        <v>73</v>
      </c>
      <c r="C62" t="s">
        <v>147</v>
      </c>
      <c r="D62" s="19">
        <v>46172</v>
      </c>
      <c r="E62" t="s">
        <v>77</v>
      </c>
      <c r="F62">
        <f>+_xlfn.ISOWEEKNUM(export?format_csv_gid_612082435[[#This Row],[Fecha]])</f>
        <v>22</v>
      </c>
      <c r="G62">
        <f>+YEAR(export?format_csv_gid_612082435[[#This Row],[Fecha]])</f>
        <v>2026</v>
      </c>
      <c r="H62" t="e">
        <f>+VLOOKUP(export?format_csv_gid_612082435[[#This Row],[Valor]],Listas!A:B,2,FALSE)</f>
        <v>#N/A</v>
      </c>
    </row>
    <row r="63" spans="1:8" hidden="1" x14ac:dyDescent="0.3">
      <c r="A63" t="s">
        <v>72</v>
      </c>
      <c r="B63" t="s">
        <v>73</v>
      </c>
      <c r="C63" t="s">
        <v>147</v>
      </c>
      <c r="D63" s="19">
        <v>46173</v>
      </c>
      <c r="E63" t="s">
        <v>77</v>
      </c>
      <c r="F63">
        <f>+_xlfn.ISOWEEKNUM(export?format_csv_gid_612082435[[#This Row],[Fecha]])</f>
        <v>22</v>
      </c>
      <c r="G63">
        <f>+YEAR(export?format_csv_gid_612082435[[#This Row],[Fecha]])</f>
        <v>2026</v>
      </c>
      <c r="H63" t="e">
        <f>+VLOOKUP(export?format_csv_gid_612082435[[#This Row],[Valor]],Listas!A:B,2,FALSE)</f>
        <v>#N/A</v>
      </c>
    </row>
    <row r="64" spans="1:8" hidden="1" x14ac:dyDescent="0.3">
      <c r="A64" t="s">
        <v>72</v>
      </c>
      <c r="B64" t="s">
        <v>73</v>
      </c>
      <c r="C64" t="s">
        <v>148</v>
      </c>
      <c r="D64" s="19">
        <v>46143</v>
      </c>
      <c r="E64" t="s">
        <v>76</v>
      </c>
      <c r="F64">
        <f>+_xlfn.ISOWEEKNUM(export?format_csv_gid_612082435[[#This Row],[Fecha]])</f>
        <v>18</v>
      </c>
      <c r="G64">
        <f>+YEAR(export?format_csv_gid_612082435[[#This Row],[Fecha]])</f>
        <v>2026</v>
      </c>
      <c r="H64" t="str">
        <f>+VLOOKUP(export?format_csv_gid_612082435[[#This Row],[Valor]],Listas!A:B,2,FALSE)</f>
        <v>Asistencia</v>
      </c>
    </row>
    <row r="65" spans="1:8" hidden="1" x14ac:dyDescent="0.3">
      <c r="A65" t="s">
        <v>72</v>
      </c>
      <c r="B65" t="s">
        <v>73</v>
      </c>
      <c r="C65" t="s">
        <v>148</v>
      </c>
      <c r="D65" s="19">
        <v>46144</v>
      </c>
      <c r="E65" t="s">
        <v>76</v>
      </c>
      <c r="F65">
        <f>+_xlfn.ISOWEEKNUM(export?format_csv_gid_612082435[[#This Row],[Fecha]])</f>
        <v>18</v>
      </c>
      <c r="G65">
        <f>+YEAR(export?format_csv_gid_612082435[[#This Row],[Fecha]])</f>
        <v>2026</v>
      </c>
      <c r="H65" t="str">
        <f>+VLOOKUP(export?format_csv_gid_612082435[[#This Row],[Valor]],Listas!A:B,2,FALSE)</f>
        <v>Asistencia</v>
      </c>
    </row>
    <row r="66" spans="1:8" hidden="1" x14ac:dyDescent="0.3">
      <c r="A66" t="s">
        <v>72</v>
      </c>
      <c r="B66" t="s">
        <v>73</v>
      </c>
      <c r="C66" t="s">
        <v>148</v>
      </c>
      <c r="D66" s="19">
        <v>46145</v>
      </c>
      <c r="E66" t="s">
        <v>76</v>
      </c>
      <c r="F66">
        <f>+_xlfn.ISOWEEKNUM(export?format_csv_gid_612082435[[#This Row],[Fecha]])</f>
        <v>18</v>
      </c>
      <c r="G66">
        <f>+YEAR(export?format_csv_gid_612082435[[#This Row],[Fecha]])</f>
        <v>2026</v>
      </c>
      <c r="H66" t="str">
        <f>+VLOOKUP(export?format_csv_gid_612082435[[#This Row],[Valor]],Listas!A:B,2,FALSE)</f>
        <v>Asistencia</v>
      </c>
    </row>
    <row r="67" spans="1:8" hidden="1" x14ac:dyDescent="0.3">
      <c r="A67" t="s">
        <v>72</v>
      </c>
      <c r="B67" t="s">
        <v>73</v>
      </c>
      <c r="C67" t="s">
        <v>148</v>
      </c>
      <c r="D67" s="19">
        <v>46146</v>
      </c>
      <c r="E67" t="s">
        <v>76</v>
      </c>
      <c r="F67">
        <f>+_xlfn.ISOWEEKNUM(export?format_csv_gid_612082435[[#This Row],[Fecha]])</f>
        <v>19</v>
      </c>
      <c r="G67">
        <f>+YEAR(export?format_csv_gid_612082435[[#This Row],[Fecha]])</f>
        <v>2026</v>
      </c>
      <c r="H67" t="str">
        <f>+VLOOKUP(export?format_csv_gid_612082435[[#This Row],[Valor]],Listas!A:B,2,FALSE)</f>
        <v>Asistencia</v>
      </c>
    </row>
    <row r="68" spans="1:8" hidden="1" x14ac:dyDescent="0.3">
      <c r="A68" t="s">
        <v>72</v>
      </c>
      <c r="B68" t="s">
        <v>73</v>
      </c>
      <c r="C68" t="s">
        <v>148</v>
      </c>
      <c r="D68" s="19">
        <v>46147</v>
      </c>
      <c r="E68" t="s">
        <v>76</v>
      </c>
      <c r="F68">
        <f>+_xlfn.ISOWEEKNUM(export?format_csv_gid_612082435[[#This Row],[Fecha]])</f>
        <v>19</v>
      </c>
      <c r="G68">
        <f>+YEAR(export?format_csv_gid_612082435[[#This Row],[Fecha]])</f>
        <v>2026</v>
      </c>
      <c r="H68" t="str">
        <f>+VLOOKUP(export?format_csv_gid_612082435[[#This Row],[Valor]],Listas!A:B,2,FALSE)</f>
        <v>Asistencia</v>
      </c>
    </row>
    <row r="69" spans="1:8" hidden="1" x14ac:dyDescent="0.3">
      <c r="A69" t="s">
        <v>72</v>
      </c>
      <c r="B69" t="s">
        <v>73</v>
      </c>
      <c r="C69" t="s">
        <v>148</v>
      </c>
      <c r="D69" s="19">
        <v>46148</v>
      </c>
      <c r="E69" t="s">
        <v>76</v>
      </c>
      <c r="F69">
        <f>+_xlfn.ISOWEEKNUM(export?format_csv_gid_612082435[[#This Row],[Fecha]])</f>
        <v>19</v>
      </c>
      <c r="G69">
        <f>+YEAR(export?format_csv_gid_612082435[[#This Row],[Fecha]])</f>
        <v>2026</v>
      </c>
      <c r="H69" t="str">
        <f>+VLOOKUP(export?format_csv_gid_612082435[[#This Row],[Valor]],Listas!A:B,2,FALSE)</f>
        <v>Asistencia</v>
      </c>
    </row>
    <row r="70" spans="1:8" hidden="1" x14ac:dyDescent="0.3">
      <c r="A70" t="s">
        <v>72</v>
      </c>
      <c r="B70" t="s">
        <v>73</v>
      </c>
      <c r="C70" t="s">
        <v>148</v>
      </c>
      <c r="D70" s="19">
        <v>46149</v>
      </c>
      <c r="E70" t="s">
        <v>76</v>
      </c>
      <c r="F70">
        <f>+_xlfn.ISOWEEKNUM(export?format_csv_gid_612082435[[#This Row],[Fecha]])</f>
        <v>19</v>
      </c>
      <c r="G70">
        <f>+YEAR(export?format_csv_gid_612082435[[#This Row],[Fecha]])</f>
        <v>2026</v>
      </c>
      <c r="H70" t="str">
        <f>+VLOOKUP(export?format_csv_gid_612082435[[#This Row],[Valor]],Listas!A:B,2,FALSE)</f>
        <v>Asistencia</v>
      </c>
    </row>
    <row r="71" spans="1:8" hidden="1" x14ac:dyDescent="0.3">
      <c r="A71" t="s">
        <v>72</v>
      </c>
      <c r="B71" t="s">
        <v>73</v>
      </c>
      <c r="C71" t="s">
        <v>148</v>
      </c>
      <c r="D71" s="19">
        <v>46150</v>
      </c>
      <c r="E71" t="s">
        <v>76</v>
      </c>
      <c r="F71">
        <f>+_xlfn.ISOWEEKNUM(export?format_csv_gid_612082435[[#This Row],[Fecha]])</f>
        <v>19</v>
      </c>
      <c r="G71">
        <f>+YEAR(export?format_csv_gid_612082435[[#This Row],[Fecha]])</f>
        <v>2026</v>
      </c>
      <c r="H71" t="str">
        <f>+VLOOKUP(export?format_csv_gid_612082435[[#This Row],[Valor]],Listas!A:B,2,FALSE)</f>
        <v>Asistencia</v>
      </c>
    </row>
    <row r="72" spans="1:8" hidden="1" x14ac:dyDescent="0.3">
      <c r="A72" t="s">
        <v>72</v>
      </c>
      <c r="B72" t="s">
        <v>73</v>
      </c>
      <c r="C72" t="s">
        <v>148</v>
      </c>
      <c r="D72" s="19">
        <v>46151</v>
      </c>
      <c r="E72" t="s">
        <v>76</v>
      </c>
      <c r="F72">
        <f>+_xlfn.ISOWEEKNUM(export?format_csv_gid_612082435[[#This Row],[Fecha]])</f>
        <v>19</v>
      </c>
      <c r="G72">
        <f>+YEAR(export?format_csv_gid_612082435[[#This Row],[Fecha]])</f>
        <v>2026</v>
      </c>
      <c r="H72" t="str">
        <f>+VLOOKUP(export?format_csv_gid_612082435[[#This Row],[Valor]],Listas!A:B,2,FALSE)</f>
        <v>Asistencia</v>
      </c>
    </row>
    <row r="73" spans="1:8" hidden="1" x14ac:dyDescent="0.3">
      <c r="A73" t="s">
        <v>72</v>
      </c>
      <c r="B73" t="s">
        <v>73</v>
      </c>
      <c r="C73" t="s">
        <v>148</v>
      </c>
      <c r="D73" s="19">
        <v>46152</v>
      </c>
      <c r="E73" t="s">
        <v>113</v>
      </c>
      <c r="F73">
        <f>+_xlfn.ISOWEEKNUM(export?format_csv_gid_612082435[[#This Row],[Fecha]])</f>
        <v>19</v>
      </c>
      <c r="G73">
        <f>+YEAR(export?format_csv_gid_612082435[[#This Row],[Fecha]])</f>
        <v>2026</v>
      </c>
      <c r="H73" t="str">
        <f>+VLOOKUP(export?format_csv_gid_612082435[[#This Row],[Valor]],Listas!A:B,2,FALSE)</f>
        <v>D. Remunerado</v>
      </c>
    </row>
    <row r="74" spans="1:8" hidden="1" x14ac:dyDescent="0.3">
      <c r="A74" t="s">
        <v>72</v>
      </c>
      <c r="B74" t="s">
        <v>73</v>
      </c>
      <c r="C74" t="s">
        <v>148</v>
      </c>
      <c r="D74" s="19">
        <v>46153</v>
      </c>
      <c r="E74" t="s">
        <v>76</v>
      </c>
      <c r="F74">
        <f>+_xlfn.ISOWEEKNUM(export?format_csv_gid_612082435[[#This Row],[Fecha]])</f>
        <v>20</v>
      </c>
      <c r="G74">
        <f>+YEAR(export?format_csv_gid_612082435[[#This Row],[Fecha]])</f>
        <v>2026</v>
      </c>
      <c r="H74" t="str">
        <f>+VLOOKUP(export?format_csv_gid_612082435[[#This Row],[Valor]],Listas!A:B,2,FALSE)</f>
        <v>Asistencia</v>
      </c>
    </row>
    <row r="75" spans="1:8" hidden="1" x14ac:dyDescent="0.3">
      <c r="A75" t="s">
        <v>72</v>
      </c>
      <c r="B75" t="s">
        <v>73</v>
      </c>
      <c r="C75" t="s">
        <v>148</v>
      </c>
      <c r="D75" s="19">
        <v>46154</v>
      </c>
      <c r="E75" t="s">
        <v>76</v>
      </c>
      <c r="F75">
        <f>+_xlfn.ISOWEEKNUM(export?format_csv_gid_612082435[[#This Row],[Fecha]])</f>
        <v>20</v>
      </c>
      <c r="G75">
        <f>+YEAR(export?format_csv_gid_612082435[[#This Row],[Fecha]])</f>
        <v>2026</v>
      </c>
      <c r="H75" t="str">
        <f>+VLOOKUP(export?format_csv_gid_612082435[[#This Row],[Valor]],Listas!A:B,2,FALSE)</f>
        <v>Asistencia</v>
      </c>
    </row>
    <row r="76" spans="1:8" hidden="1" x14ac:dyDescent="0.3">
      <c r="A76" t="s">
        <v>72</v>
      </c>
      <c r="B76" t="s">
        <v>73</v>
      </c>
      <c r="C76" t="s">
        <v>148</v>
      </c>
      <c r="D76" s="19">
        <v>46155</v>
      </c>
      <c r="E76" t="s">
        <v>76</v>
      </c>
      <c r="F76">
        <f>+_xlfn.ISOWEEKNUM(export?format_csv_gid_612082435[[#This Row],[Fecha]])</f>
        <v>20</v>
      </c>
      <c r="G76">
        <f>+YEAR(export?format_csv_gid_612082435[[#This Row],[Fecha]])</f>
        <v>2026</v>
      </c>
      <c r="H76" t="str">
        <f>+VLOOKUP(export?format_csv_gid_612082435[[#This Row],[Valor]],Listas!A:B,2,FALSE)</f>
        <v>Asistencia</v>
      </c>
    </row>
    <row r="77" spans="1:8" hidden="1" x14ac:dyDescent="0.3">
      <c r="A77" t="s">
        <v>72</v>
      </c>
      <c r="B77" t="s">
        <v>73</v>
      </c>
      <c r="C77" t="s">
        <v>148</v>
      </c>
      <c r="D77" s="19">
        <v>46156</v>
      </c>
      <c r="E77" t="s">
        <v>76</v>
      </c>
      <c r="F77">
        <f>+_xlfn.ISOWEEKNUM(export?format_csv_gid_612082435[[#This Row],[Fecha]])</f>
        <v>20</v>
      </c>
      <c r="G77">
        <f>+YEAR(export?format_csv_gid_612082435[[#This Row],[Fecha]])</f>
        <v>2026</v>
      </c>
      <c r="H77" t="str">
        <f>+VLOOKUP(export?format_csv_gid_612082435[[#This Row],[Valor]],Listas!A:B,2,FALSE)</f>
        <v>Asistencia</v>
      </c>
    </row>
    <row r="78" spans="1:8" hidden="1" x14ac:dyDescent="0.3">
      <c r="A78" t="s">
        <v>72</v>
      </c>
      <c r="B78" t="s">
        <v>73</v>
      </c>
      <c r="C78" t="s">
        <v>148</v>
      </c>
      <c r="D78" s="19">
        <v>46157</v>
      </c>
      <c r="E78" t="s">
        <v>76</v>
      </c>
      <c r="F78">
        <f>+_xlfn.ISOWEEKNUM(export?format_csv_gid_612082435[[#This Row],[Fecha]])</f>
        <v>20</v>
      </c>
      <c r="G78">
        <f>+YEAR(export?format_csv_gid_612082435[[#This Row],[Fecha]])</f>
        <v>2026</v>
      </c>
      <c r="H78" t="str">
        <f>+VLOOKUP(export?format_csv_gid_612082435[[#This Row],[Valor]],Listas!A:B,2,FALSE)</f>
        <v>Asistencia</v>
      </c>
    </row>
    <row r="79" spans="1:8" hidden="1" x14ac:dyDescent="0.3">
      <c r="A79" t="s">
        <v>72</v>
      </c>
      <c r="B79" t="s">
        <v>73</v>
      </c>
      <c r="C79" t="s">
        <v>148</v>
      </c>
      <c r="D79" s="19">
        <v>46158</v>
      </c>
      <c r="E79" t="s">
        <v>77</v>
      </c>
      <c r="F79">
        <f>+_xlfn.ISOWEEKNUM(export?format_csv_gid_612082435[[#This Row],[Fecha]])</f>
        <v>20</v>
      </c>
      <c r="G79">
        <f>+YEAR(export?format_csv_gid_612082435[[#This Row],[Fecha]])</f>
        <v>2026</v>
      </c>
      <c r="H79" t="e">
        <f>+VLOOKUP(export?format_csv_gid_612082435[[#This Row],[Valor]],Listas!A:B,2,FALSE)</f>
        <v>#N/A</v>
      </c>
    </row>
    <row r="80" spans="1:8" hidden="1" x14ac:dyDescent="0.3">
      <c r="A80" t="s">
        <v>72</v>
      </c>
      <c r="B80" t="s">
        <v>73</v>
      </c>
      <c r="C80" t="s">
        <v>148</v>
      </c>
      <c r="D80" s="19">
        <v>46159</v>
      </c>
      <c r="E80" t="s">
        <v>77</v>
      </c>
      <c r="F80">
        <f>+_xlfn.ISOWEEKNUM(export?format_csv_gid_612082435[[#This Row],[Fecha]])</f>
        <v>20</v>
      </c>
      <c r="G80">
        <f>+YEAR(export?format_csv_gid_612082435[[#This Row],[Fecha]])</f>
        <v>2026</v>
      </c>
      <c r="H80" t="e">
        <f>+VLOOKUP(export?format_csv_gid_612082435[[#This Row],[Valor]],Listas!A:B,2,FALSE)</f>
        <v>#N/A</v>
      </c>
    </row>
    <row r="81" spans="1:8" hidden="1" x14ac:dyDescent="0.3">
      <c r="A81" t="s">
        <v>72</v>
      </c>
      <c r="B81" t="s">
        <v>73</v>
      </c>
      <c r="C81" t="s">
        <v>148</v>
      </c>
      <c r="D81" s="19">
        <v>46160</v>
      </c>
      <c r="E81" t="s">
        <v>77</v>
      </c>
      <c r="F81">
        <f>+_xlfn.ISOWEEKNUM(export?format_csv_gid_612082435[[#This Row],[Fecha]])</f>
        <v>21</v>
      </c>
      <c r="G81">
        <f>+YEAR(export?format_csv_gid_612082435[[#This Row],[Fecha]])</f>
        <v>2026</v>
      </c>
      <c r="H81" t="e">
        <f>+VLOOKUP(export?format_csv_gid_612082435[[#This Row],[Valor]],Listas!A:B,2,FALSE)</f>
        <v>#N/A</v>
      </c>
    </row>
    <row r="82" spans="1:8" hidden="1" x14ac:dyDescent="0.3">
      <c r="A82" t="s">
        <v>72</v>
      </c>
      <c r="B82" t="s">
        <v>73</v>
      </c>
      <c r="C82" t="s">
        <v>148</v>
      </c>
      <c r="D82" s="19">
        <v>46161</v>
      </c>
      <c r="E82" t="s">
        <v>77</v>
      </c>
      <c r="F82">
        <f>+_xlfn.ISOWEEKNUM(export?format_csv_gid_612082435[[#This Row],[Fecha]])</f>
        <v>21</v>
      </c>
      <c r="G82">
        <f>+YEAR(export?format_csv_gid_612082435[[#This Row],[Fecha]])</f>
        <v>2026</v>
      </c>
      <c r="H82" t="e">
        <f>+VLOOKUP(export?format_csv_gid_612082435[[#This Row],[Valor]],Listas!A:B,2,FALSE)</f>
        <v>#N/A</v>
      </c>
    </row>
    <row r="83" spans="1:8" hidden="1" x14ac:dyDescent="0.3">
      <c r="A83" t="s">
        <v>72</v>
      </c>
      <c r="B83" t="s">
        <v>73</v>
      </c>
      <c r="C83" t="s">
        <v>148</v>
      </c>
      <c r="D83" s="19">
        <v>46162</v>
      </c>
      <c r="E83" t="s">
        <v>77</v>
      </c>
      <c r="F83">
        <f>+_xlfn.ISOWEEKNUM(export?format_csv_gid_612082435[[#This Row],[Fecha]])</f>
        <v>21</v>
      </c>
      <c r="G83">
        <f>+YEAR(export?format_csv_gid_612082435[[#This Row],[Fecha]])</f>
        <v>2026</v>
      </c>
      <c r="H83" t="e">
        <f>+VLOOKUP(export?format_csv_gid_612082435[[#This Row],[Valor]],Listas!A:B,2,FALSE)</f>
        <v>#N/A</v>
      </c>
    </row>
    <row r="84" spans="1:8" hidden="1" x14ac:dyDescent="0.3">
      <c r="A84" t="s">
        <v>72</v>
      </c>
      <c r="B84" t="s">
        <v>73</v>
      </c>
      <c r="C84" t="s">
        <v>148</v>
      </c>
      <c r="D84" s="19">
        <v>46163</v>
      </c>
      <c r="E84" t="s">
        <v>77</v>
      </c>
      <c r="F84">
        <f>+_xlfn.ISOWEEKNUM(export?format_csv_gid_612082435[[#This Row],[Fecha]])</f>
        <v>21</v>
      </c>
      <c r="G84">
        <f>+YEAR(export?format_csv_gid_612082435[[#This Row],[Fecha]])</f>
        <v>2026</v>
      </c>
      <c r="H84" t="e">
        <f>+VLOOKUP(export?format_csv_gid_612082435[[#This Row],[Valor]],Listas!A:B,2,FALSE)</f>
        <v>#N/A</v>
      </c>
    </row>
    <row r="85" spans="1:8" hidden="1" x14ac:dyDescent="0.3">
      <c r="A85" t="s">
        <v>72</v>
      </c>
      <c r="B85" t="s">
        <v>73</v>
      </c>
      <c r="C85" t="s">
        <v>148</v>
      </c>
      <c r="D85" s="19">
        <v>46164</v>
      </c>
      <c r="E85" t="s">
        <v>77</v>
      </c>
      <c r="F85">
        <f>+_xlfn.ISOWEEKNUM(export?format_csv_gid_612082435[[#This Row],[Fecha]])</f>
        <v>21</v>
      </c>
      <c r="G85">
        <f>+YEAR(export?format_csv_gid_612082435[[#This Row],[Fecha]])</f>
        <v>2026</v>
      </c>
      <c r="H85" t="e">
        <f>+VLOOKUP(export?format_csv_gid_612082435[[#This Row],[Valor]],Listas!A:B,2,FALSE)</f>
        <v>#N/A</v>
      </c>
    </row>
    <row r="86" spans="1:8" hidden="1" x14ac:dyDescent="0.3">
      <c r="A86" t="s">
        <v>72</v>
      </c>
      <c r="B86" t="s">
        <v>73</v>
      </c>
      <c r="C86" t="s">
        <v>148</v>
      </c>
      <c r="D86" s="19">
        <v>46165</v>
      </c>
      <c r="E86" t="s">
        <v>77</v>
      </c>
      <c r="F86">
        <f>+_xlfn.ISOWEEKNUM(export?format_csv_gid_612082435[[#This Row],[Fecha]])</f>
        <v>21</v>
      </c>
      <c r="G86">
        <f>+YEAR(export?format_csv_gid_612082435[[#This Row],[Fecha]])</f>
        <v>2026</v>
      </c>
      <c r="H86" t="e">
        <f>+VLOOKUP(export?format_csv_gid_612082435[[#This Row],[Valor]],Listas!A:B,2,FALSE)</f>
        <v>#N/A</v>
      </c>
    </row>
    <row r="87" spans="1:8" hidden="1" x14ac:dyDescent="0.3">
      <c r="A87" t="s">
        <v>72</v>
      </c>
      <c r="B87" t="s">
        <v>73</v>
      </c>
      <c r="C87" t="s">
        <v>148</v>
      </c>
      <c r="D87" s="19">
        <v>46166</v>
      </c>
      <c r="E87" t="s">
        <v>77</v>
      </c>
      <c r="F87">
        <f>+_xlfn.ISOWEEKNUM(export?format_csv_gid_612082435[[#This Row],[Fecha]])</f>
        <v>21</v>
      </c>
      <c r="G87">
        <f>+YEAR(export?format_csv_gid_612082435[[#This Row],[Fecha]])</f>
        <v>2026</v>
      </c>
      <c r="H87" t="e">
        <f>+VLOOKUP(export?format_csv_gid_612082435[[#This Row],[Valor]],Listas!A:B,2,FALSE)</f>
        <v>#N/A</v>
      </c>
    </row>
    <row r="88" spans="1:8" hidden="1" x14ac:dyDescent="0.3">
      <c r="A88" t="s">
        <v>72</v>
      </c>
      <c r="B88" t="s">
        <v>73</v>
      </c>
      <c r="C88" t="s">
        <v>148</v>
      </c>
      <c r="D88" s="19">
        <v>46167</v>
      </c>
      <c r="E88" t="s">
        <v>77</v>
      </c>
      <c r="F88">
        <f>+_xlfn.ISOWEEKNUM(export?format_csv_gid_612082435[[#This Row],[Fecha]])</f>
        <v>22</v>
      </c>
      <c r="G88">
        <f>+YEAR(export?format_csv_gid_612082435[[#This Row],[Fecha]])</f>
        <v>2026</v>
      </c>
      <c r="H88" t="e">
        <f>+VLOOKUP(export?format_csv_gid_612082435[[#This Row],[Valor]],Listas!A:B,2,FALSE)</f>
        <v>#N/A</v>
      </c>
    </row>
    <row r="89" spans="1:8" hidden="1" x14ac:dyDescent="0.3">
      <c r="A89" t="s">
        <v>72</v>
      </c>
      <c r="B89" t="s">
        <v>73</v>
      </c>
      <c r="C89" t="s">
        <v>148</v>
      </c>
      <c r="D89" s="19">
        <v>46168</v>
      </c>
      <c r="E89" t="s">
        <v>77</v>
      </c>
      <c r="F89">
        <f>+_xlfn.ISOWEEKNUM(export?format_csv_gid_612082435[[#This Row],[Fecha]])</f>
        <v>22</v>
      </c>
      <c r="G89">
        <f>+YEAR(export?format_csv_gid_612082435[[#This Row],[Fecha]])</f>
        <v>2026</v>
      </c>
      <c r="H89" t="e">
        <f>+VLOOKUP(export?format_csv_gid_612082435[[#This Row],[Valor]],Listas!A:B,2,FALSE)</f>
        <v>#N/A</v>
      </c>
    </row>
    <row r="90" spans="1:8" hidden="1" x14ac:dyDescent="0.3">
      <c r="A90" t="s">
        <v>72</v>
      </c>
      <c r="B90" t="s">
        <v>73</v>
      </c>
      <c r="C90" t="s">
        <v>148</v>
      </c>
      <c r="D90" s="19">
        <v>46169</v>
      </c>
      <c r="E90" t="s">
        <v>77</v>
      </c>
      <c r="F90">
        <f>+_xlfn.ISOWEEKNUM(export?format_csv_gid_612082435[[#This Row],[Fecha]])</f>
        <v>22</v>
      </c>
      <c r="G90">
        <f>+YEAR(export?format_csv_gid_612082435[[#This Row],[Fecha]])</f>
        <v>2026</v>
      </c>
      <c r="H90" t="e">
        <f>+VLOOKUP(export?format_csv_gid_612082435[[#This Row],[Valor]],Listas!A:B,2,FALSE)</f>
        <v>#N/A</v>
      </c>
    </row>
    <row r="91" spans="1:8" hidden="1" x14ac:dyDescent="0.3">
      <c r="A91" t="s">
        <v>72</v>
      </c>
      <c r="B91" t="s">
        <v>73</v>
      </c>
      <c r="C91" t="s">
        <v>148</v>
      </c>
      <c r="D91" s="19">
        <v>46170</v>
      </c>
      <c r="E91" t="s">
        <v>77</v>
      </c>
      <c r="F91">
        <f>+_xlfn.ISOWEEKNUM(export?format_csv_gid_612082435[[#This Row],[Fecha]])</f>
        <v>22</v>
      </c>
      <c r="G91">
        <f>+YEAR(export?format_csv_gid_612082435[[#This Row],[Fecha]])</f>
        <v>2026</v>
      </c>
      <c r="H91" t="e">
        <f>+VLOOKUP(export?format_csv_gid_612082435[[#This Row],[Valor]],Listas!A:B,2,FALSE)</f>
        <v>#N/A</v>
      </c>
    </row>
    <row r="92" spans="1:8" hidden="1" x14ac:dyDescent="0.3">
      <c r="A92" t="s">
        <v>72</v>
      </c>
      <c r="B92" t="s">
        <v>73</v>
      </c>
      <c r="C92" t="s">
        <v>148</v>
      </c>
      <c r="D92" s="19">
        <v>46171</v>
      </c>
      <c r="E92" t="s">
        <v>77</v>
      </c>
      <c r="F92">
        <f>+_xlfn.ISOWEEKNUM(export?format_csv_gid_612082435[[#This Row],[Fecha]])</f>
        <v>22</v>
      </c>
      <c r="G92">
        <f>+YEAR(export?format_csv_gid_612082435[[#This Row],[Fecha]])</f>
        <v>2026</v>
      </c>
      <c r="H92" t="e">
        <f>+VLOOKUP(export?format_csv_gid_612082435[[#This Row],[Valor]],Listas!A:B,2,FALSE)</f>
        <v>#N/A</v>
      </c>
    </row>
    <row r="93" spans="1:8" hidden="1" x14ac:dyDescent="0.3">
      <c r="A93" t="s">
        <v>72</v>
      </c>
      <c r="B93" t="s">
        <v>73</v>
      </c>
      <c r="C93" t="s">
        <v>148</v>
      </c>
      <c r="D93" s="19">
        <v>46172</v>
      </c>
      <c r="E93" t="s">
        <v>77</v>
      </c>
      <c r="F93">
        <f>+_xlfn.ISOWEEKNUM(export?format_csv_gid_612082435[[#This Row],[Fecha]])</f>
        <v>22</v>
      </c>
      <c r="G93">
        <f>+YEAR(export?format_csv_gid_612082435[[#This Row],[Fecha]])</f>
        <v>2026</v>
      </c>
      <c r="H93" t="e">
        <f>+VLOOKUP(export?format_csv_gid_612082435[[#This Row],[Valor]],Listas!A:B,2,FALSE)</f>
        <v>#N/A</v>
      </c>
    </row>
    <row r="94" spans="1:8" hidden="1" x14ac:dyDescent="0.3">
      <c r="A94" t="s">
        <v>72</v>
      </c>
      <c r="B94" t="s">
        <v>73</v>
      </c>
      <c r="C94" t="s">
        <v>148</v>
      </c>
      <c r="D94" s="19">
        <v>46173</v>
      </c>
      <c r="E94" t="s">
        <v>77</v>
      </c>
      <c r="F94">
        <f>+_xlfn.ISOWEEKNUM(export?format_csv_gid_612082435[[#This Row],[Fecha]])</f>
        <v>22</v>
      </c>
      <c r="G94">
        <f>+YEAR(export?format_csv_gid_612082435[[#This Row],[Fecha]])</f>
        <v>2026</v>
      </c>
      <c r="H94" t="e">
        <f>+VLOOKUP(export?format_csv_gid_612082435[[#This Row],[Valor]],Listas!A:B,2,FALSE)</f>
        <v>#N/A</v>
      </c>
    </row>
    <row r="95" spans="1:8" hidden="1" x14ac:dyDescent="0.3">
      <c r="A95" t="s">
        <v>72</v>
      </c>
      <c r="B95" t="s">
        <v>73</v>
      </c>
      <c r="C95" t="s">
        <v>78</v>
      </c>
      <c r="D95" s="19">
        <v>46143</v>
      </c>
      <c r="E95" t="s">
        <v>76</v>
      </c>
      <c r="F95">
        <f>+_xlfn.ISOWEEKNUM(export?format_csv_gid_612082435[[#This Row],[Fecha]])</f>
        <v>18</v>
      </c>
      <c r="G95">
        <f>+YEAR(export?format_csv_gid_612082435[[#This Row],[Fecha]])</f>
        <v>2026</v>
      </c>
      <c r="H95" t="str">
        <f>+VLOOKUP(export?format_csv_gid_612082435[[#This Row],[Valor]],Listas!A:B,2,FALSE)</f>
        <v>Asistencia</v>
      </c>
    </row>
    <row r="96" spans="1:8" hidden="1" x14ac:dyDescent="0.3">
      <c r="A96" t="s">
        <v>72</v>
      </c>
      <c r="B96" t="s">
        <v>73</v>
      </c>
      <c r="C96" t="s">
        <v>78</v>
      </c>
      <c r="D96" s="19">
        <v>46144</v>
      </c>
      <c r="E96" t="s">
        <v>76</v>
      </c>
      <c r="F96">
        <f>+_xlfn.ISOWEEKNUM(export?format_csv_gid_612082435[[#This Row],[Fecha]])</f>
        <v>18</v>
      </c>
      <c r="G96">
        <f>+YEAR(export?format_csv_gid_612082435[[#This Row],[Fecha]])</f>
        <v>2026</v>
      </c>
      <c r="H96" t="str">
        <f>+VLOOKUP(export?format_csv_gid_612082435[[#This Row],[Valor]],Listas!A:B,2,FALSE)</f>
        <v>Asistencia</v>
      </c>
    </row>
    <row r="97" spans="1:8" hidden="1" x14ac:dyDescent="0.3">
      <c r="A97" t="s">
        <v>72</v>
      </c>
      <c r="B97" t="s">
        <v>73</v>
      </c>
      <c r="C97" t="s">
        <v>78</v>
      </c>
      <c r="D97" s="19">
        <v>46145</v>
      </c>
      <c r="E97" t="s">
        <v>76</v>
      </c>
      <c r="F97">
        <f>+_xlfn.ISOWEEKNUM(export?format_csv_gid_612082435[[#This Row],[Fecha]])</f>
        <v>18</v>
      </c>
      <c r="G97">
        <f>+YEAR(export?format_csv_gid_612082435[[#This Row],[Fecha]])</f>
        <v>2026</v>
      </c>
      <c r="H97" t="str">
        <f>+VLOOKUP(export?format_csv_gid_612082435[[#This Row],[Valor]],Listas!A:B,2,FALSE)</f>
        <v>Asistencia</v>
      </c>
    </row>
    <row r="98" spans="1:8" hidden="1" x14ac:dyDescent="0.3">
      <c r="A98" t="s">
        <v>72</v>
      </c>
      <c r="B98" t="s">
        <v>73</v>
      </c>
      <c r="C98" t="s">
        <v>78</v>
      </c>
      <c r="D98" s="19">
        <v>46146</v>
      </c>
      <c r="E98" t="s">
        <v>76</v>
      </c>
      <c r="F98">
        <f>+_xlfn.ISOWEEKNUM(export?format_csv_gid_612082435[[#This Row],[Fecha]])</f>
        <v>19</v>
      </c>
      <c r="G98">
        <f>+YEAR(export?format_csv_gid_612082435[[#This Row],[Fecha]])</f>
        <v>2026</v>
      </c>
      <c r="H98" t="str">
        <f>+VLOOKUP(export?format_csv_gid_612082435[[#This Row],[Valor]],Listas!A:B,2,FALSE)</f>
        <v>Asistencia</v>
      </c>
    </row>
    <row r="99" spans="1:8" hidden="1" x14ac:dyDescent="0.3">
      <c r="A99" t="s">
        <v>72</v>
      </c>
      <c r="B99" t="s">
        <v>73</v>
      </c>
      <c r="C99" t="s">
        <v>78</v>
      </c>
      <c r="D99" s="19">
        <v>46147</v>
      </c>
      <c r="E99" t="s">
        <v>76</v>
      </c>
      <c r="F99">
        <f>+_xlfn.ISOWEEKNUM(export?format_csv_gid_612082435[[#This Row],[Fecha]])</f>
        <v>19</v>
      </c>
      <c r="G99">
        <f>+YEAR(export?format_csv_gid_612082435[[#This Row],[Fecha]])</f>
        <v>2026</v>
      </c>
      <c r="H99" t="str">
        <f>+VLOOKUP(export?format_csv_gid_612082435[[#This Row],[Valor]],Listas!A:B,2,FALSE)</f>
        <v>Asistencia</v>
      </c>
    </row>
    <row r="100" spans="1:8" hidden="1" x14ac:dyDescent="0.3">
      <c r="A100" t="s">
        <v>72</v>
      </c>
      <c r="B100" t="s">
        <v>73</v>
      </c>
      <c r="C100" t="s">
        <v>78</v>
      </c>
      <c r="D100" s="19">
        <v>46148</v>
      </c>
      <c r="E100" t="s">
        <v>76</v>
      </c>
      <c r="F100">
        <f>+_xlfn.ISOWEEKNUM(export?format_csv_gid_612082435[[#This Row],[Fecha]])</f>
        <v>19</v>
      </c>
      <c r="G100">
        <f>+YEAR(export?format_csv_gid_612082435[[#This Row],[Fecha]])</f>
        <v>2026</v>
      </c>
      <c r="H100" t="str">
        <f>+VLOOKUP(export?format_csv_gid_612082435[[#This Row],[Valor]],Listas!A:B,2,FALSE)</f>
        <v>Asistencia</v>
      </c>
    </row>
    <row r="101" spans="1:8" hidden="1" x14ac:dyDescent="0.3">
      <c r="A101" t="s">
        <v>72</v>
      </c>
      <c r="B101" t="s">
        <v>73</v>
      </c>
      <c r="C101" t="s">
        <v>78</v>
      </c>
      <c r="D101" s="19">
        <v>46149</v>
      </c>
      <c r="E101" t="s">
        <v>76</v>
      </c>
      <c r="F101">
        <f>+_xlfn.ISOWEEKNUM(export?format_csv_gid_612082435[[#This Row],[Fecha]])</f>
        <v>19</v>
      </c>
      <c r="G101">
        <f>+YEAR(export?format_csv_gid_612082435[[#This Row],[Fecha]])</f>
        <v>2026</v>
      </c>
      <c r="H101" t="str">
        <f>+VLOOKUP(export?format_csv_gid_612082435[[#This Row],[Valor]],Listas!A:B,2,FALSE)</f>
        <v>Asistencia</v>
      </c>
    </row>
    <row r="102" spans="1:8" hidden="1" x14ac:dyDescent="0.3">
      <c r="A102" t="s">
        <v>72</v>
      </c>
      <c r="B102" t="s">
        <v>73</v>
      </c>
      <c r="C102" t="s">
        <v>78</v>
      </c>
      <c r="D102" s="19">
        <v>46150</v>
      </c>
      <c r="E102" t="s">
        <v>76</v>
      </c>
      <c r="F102">
        <f>+_xlfn.ISOWEEKNUM(export?format_csv_gid_612082435[[#This Row],[Fecha]])</f>
        <v>19</v>
      </c>
      <c r="G102">
        <f>+YEAR(export?format_csv_gid_612082435[[#This Row],[Fecha]])</f>
        <v>2026</v>
      </c>
      <c r="H102" t="str">
        <f>+VLOOKUP(export?format_csv_gid_612082435[[#This Row],[Valor]],Listas!A:B,2,FALSE)</f>
        <v>Asistencia</v>
      </c>
    </row>
    <row r="103" spans="1:8" hidden="1" x14ac:dyDescent="0.3">
      <c r="A103" t="s">
        <v>72</v>
      </c>
      <c r="B103" t="s">
        <v>73</v>
      </c>
      <c r="C103" t="s">
        <v>78</v>
      </c>
      <c r="D103" s="19">
        <v>46151</v>
      </c>
      <c r="E103" t="s">
        <v>76</v>
      </c>
      <c r="F103">
        <f>+_xlfn.ISOWEEKNUM(export?format_csv_gid_612082435[[#This Row],[Fecha]])</f>
        <v>19</v>
      </c>
      <c r="G103">
        <f>+YEAR(export?format_csv_gid_612082435[[#This Row],[Fecha]])</f>
        <v>2026</v>
      </c>
      <c r="H103" t="str">
        <f>+VLOOKUP(export?format_csv_gid_612082435[[#This Row],[Valor]],Listas!A:B,2,FALSE)</f>
        <v>Asistencia</v>
      </c>
    </row>
    <row r="104" spans="1:8" hidden="1" x14ac:dyDescent="0.3">
      <c r="A104" t="s">
        <v>72</v>
      </c>
      <c r="B104" t="s">
        <v>73</v>
      </c>
      <c r="C104" t="s">
        <v>78</v>
      </c>
      <c r="D104" s="19">
        <v>46152</v>
      </c>
      <c r="E104" t="s">
        <v>113</v>
      </c>
      <c r="F104">
        <f>+_xlfn.ISOWEEKNUM(export?format_csv_gid_612082435[[#This Row],[Fecha]])</f>
        <v>19</v>
      </c>
      <c r="G104">
        <f>+YEAR(export?format_csv_gid_612082435[[#This Row],[Fecha]])</f>
        <v>2026</v>
      </c>
      <c r="H104" t="str">
        <f>+VLOOKUP(export?format_csv_gid_612082435[[#This Row],[Valor]],Listas!A:B,2,FALSE)</f>
        <v>D. Remunerado</v>
      </c>
    </row>
    <row r="105" spans="1:8" hidden="1" x14ac:dyDescent="0.3">
      <c r="A105" t="s">
        <v>72</v>
      </c>
      <c r="B105" t="s">
        <v>73</v>
      </c>
      <c r="C105" t="s">
        <v>78</v>
      </c>
      <c r="D105" s="19">
        <v>46153</v>
      </c>
      <c r="E105" t="s">
        <v>76</v>
      </c>
      <c r="F105">
        <f>+_xlfn.ISOWEEKNUM(export?format_csv_gid_612082435[[#This Row],[Fecha]])</f>
        <v>20</v>
      </c>
      <c r="G105">
        <f>+YEAR(export?format_csv_gid_612082435[[#This Row],[Fecha]])</f>
        <v>2026</v>
      </c>
      <c r="H105" t="str">
        <f>+VLOOKUP(export?format_csv_gid_612082435[[#This Row],[Valor]],Listas!A:B,2,FALSE)</f>
        <v>Asistencia</v>
      </c>
    </row>
    <row r="106" spans="1:8" hidden="1" x14ac:dyDescent="0.3">
      <c r="A106" t="s">
        <v>72</v>
      </c>
      <c r="B106" t="s">
        <v>73</v>
      </c>
      <c r="C106" t="s">
        <v>78</v>
      </c>
      <c r="D106" s="19">
        <v>46154</v>
      </c>
      <c r="E106" t="s">
        <v>76</v>
      </c>
      <c r="F106">
        <f>+_xlfn.ISOWEEKNUM(export?format_csv_gid_612082435[[#This Row],[Fecha]])</f>
        <v>20</v>
      </c>
      <c r="G106">
        <f>+YEAR(export?format_csv_gid_612082435[[#This Row],[Fecha]])</f>
        <v>2026</v>
      </c>
      <c r="H106" t="str">
        <f>+VLOOKUP(export?format_csv_gid_612082435[[#This Row],[Valor]],Listas!A:B,2,FALSE)</f>
        <v>Asistencia</v>
      </c>
    </row>
    <row r="107" spans="1:8" hidden="1" x14ac:dyDescent="0.3">
      <c r="A107" t="s">
        <v>72</v>
      </c>
      <c r="B107" t="s">
        <v>73</v>
      </c>
      <c r="C107" t="s">
        <v>78</v>
      </c>
      <c r="D107" s="19">
        <v>46155</v>
      </c>
      <c r="E107" t="s">
        <v>76</v>
      </c>
      <c r="F107">
        <f>+_xlfn.ISOWEEKNUM(export?format_csv_gid_612082435[[#This Row],[Fecha]])</f>
        <v>20</v>
      </c>
      <c r="G107">
        <f>+YEAR(export?format_csv_gid_612082435[[#This Row],[Fecha]])</f>
        <v>2026</v>
      </c>
      <c r="H107" t="str">
        <f>+VLOOKUP(export?format_csv_gid_612082435[[#This Row],[Valor]],Listas!A:B,2,FALSE)</f>
        <v>Asistencia</v>
      </c>
    </row>
    <row r="108" spans="1:8" hidden="1" x14ac:dyDescent="0.3">
      <c r="A108" t="s">
        <v>72</v>
      </c>
      <c r="B108" t="s">
        <v>73</v>
      </c>
      <c r="C108" t="s">
        <v>78</v>
      </c>
      <c r="D108" s="19">
        <v>46156</v>
      </c>
      <c r="E108" t="s">
        <v>76</v>
      </c>
      <c r="F108">
        <f>+_xlfn.ISOWEEKNUM(export?format_csv_gid_612082435[[#This Row],[Fecha]])</f>
        <v>20</v>
      </c>
      <c r="G108">
        <f>+YEAR(export?format_csv_gid_612082435[[#This Row],[Fecha]])</f>
        <v>2026</v>
      </c>
      <c r="H108" t="str">
        <f>+VLOOKUP(export?format_csv_gid_612082435[[#This Row],[Valor]],Listas!A:B,2,FALSE)</f>
        <v>Asistencia</v>
      </c>
    </row>
    <row r="109" spans="1:8" hidden="1" x14ac:dyDescent="0.3">
      <c r="A109" t="s">
        <v>72</v>
      </c>
      <c r="B109" t="s">
        <v>73</v>
      </c>
      <c r="C109" t="s">
        <v>78</v>
      </c>
      <c r="D109" s="19">
        <v>46157</v>
      </c>
      <c r="E109" t="s">
        <v>76</v>
      </c>
      <c r="F109">
        <f>+_xlfn.ISOWEEKNUM(export?format_csv_gid_612082435[[#This Row],[Fecha]])</f>
        <v>20</v>
      </c>
      <c r="G109">
        <f>+YEAR(export?format_csv_gid_612082435[[#This Row],[Fecha]])</f>
        <v>2026</v>
      </c>
      <c r="H109" t="str">
        <f>+VLOOKUP(export?format_csv_gid_612082435[[#This Row],[Valor]],Listas!A:B,2,FALSE)</f>
        <v>Asistencia</v>
      </c>
    </row>
    <row r="110" spans="1:8" hidden="1" x14ac:dyDescent="0.3">
      <c r="A110" t="s">
        <v>72</v>
      </c>
      <c r="B110" t="s">
        <v>73</v>
      </c>
      <c r="C110" t="s">
        <v>78</v>
      </c>
      <c r="D110" s="19">
        <v>46158</v>
      </c>
      <c r="E110" t="s">
        <v>77</v>
      </c>
      <c r="F110">
        <f>+_xlfn.ISOWEEKNUM(export?format_csv_gid_612082435[[#This Row],[Fecha]])</f>
        <v>20</v>
      </c>
      <c r="G110">
        <f>+YEAR(export?format_csv_gid_612082435[[#This Row],[Fecha]])</f>
        <v>2026</v>
      </c>
      <c r="H110" t="e">
        <f>+VLOOKUP(export?format_csv_gid_612082435[[#This Row],[Valor]],Listas!A:B,2,FALSE)</f>
        <v>#N/A</v>
      </c>
    </row>
    <row r="111" spans="1:8" hidden="1" x14ac:dyDescent="0.3">
      <c r="A111" t="s">
        <v>72</v>
      </c>
      <c r="B111" t="s">
        <v>73</v>
      </c>
      <c r="C111" t="s">
        <v>78</v>
      </c>
      <c r="D111" s="19">
        <v>46159</v>
      </c>
      <c r="E111" t="s">
        <v>77</v>
      </c>
      <c r="F111">
        <f>+_xlfn.ISOWEEKNUM(export?format_csv_gid_612082435[[#This Row],[Fecha]])</f>
        <v>20</v>
      </c>
      <c r="G111">
        <f>+YEAR(export?format_csv_gid_612082435[[#This Row],[Fecha]])</f>
        <v>2026</v>
      </c>
      <c r="H111" t="e">
        <f>+VLOOKUP(export?format_csv_gid_612082435[[#This Row],[Valor]],Listas!A:B,2,FALSE)</f>
        <v>#N/A</v>
      </c>
    </row>
    <row r="112" spans="1:8" hidden="1" x14ac:dyDescent="0.3">
      <c r="A112" t="s">
        <v>72</v>
      </c>
      <c r="B112" t="s">
        <v>73</v>
      </c>
      <c r="C112" t="s">
        <v>78</v>
      </c>
      <c r="D112" s="19">
        <v>46160</v>
      </c>
      <c r="E112" t="s">
        <v>77</v>
      </c>
      <c r="F112">
        <f>+_xlfn.ISOWEEKNUM(export?format_csv_gid_612082435[[#This Row],[Fecha]])</f>
        <v>21</v>
      </c>
      <c r="G112">
        <f>+YEAR(export?format_csv_gid_612082435[[#This Row],[Fecha]])</f>
        <v>2026</v>
      </c>
      <c r="H112" t="e">
        <f>+VLOOKUP(export?format_csv_gid_612082435[[#This Row],[Valor]],Listas!A:B,2,FALSE)</f>
        <v>#N/A</v>
      </c>
    </row>
    <row r="113" spans="1:8" hidden="1" x14ac:dyDescent="0.3">
      <c r="A113" t="s">
        <v>72</v>
      </c>
      <c r="B113" t="s">
        <v>73</v>
      </c>
      <c r="C113" t="s">
        <v>78</v>
      </c>
      <c r="D113" s="19">
        <v>46161</v>
      </c>
      <c r="E113" t="s">
        <v>77</v>
      </c>
      <c r="F113">
        <f>+_xlfn.ISOWEEKNUM(export?format_csv_gid_612082435[[#This Row],[Fecha]])</f>
        <v>21</v>
      </c>
      <c r="G113">
        <f>+YEAR(export?format_csv_gid_612082435[[#This Row],[Fecha]])</f>
        <v>2026</v>
      </c>
      <c r="H113" t="e">
        <f>+VLOOKUP(export?format_csv_gid_612082435[[#This Row],[Valor]],Listas!A:B,2,FALSE)</f>
        <v>#N/A</v>
      </c>
    </row>
    <row r="114" spans="1:8" hidden="1" x14ac:dyDescent="0.3">
      <c r="A114" t="s">
        <v>72</v>
      </c>
      <c r="B114" t="s">
        <v>73</v>
      </c>
      <c r="C114" t="s">
        <v>78</v>
      </c>
      <c r="D114" s="19">
        <v>46162</v>
      </c>
      <c r="E114" t="s">
        <v>77</v>
      </c>
      <c r="F114">
        <f>+_xlfn.ISOWEEKNUM(export?format_csv_gid_612082435[[#This Row],[Fecha]])</f>
        <v>21</v>
      </c>
      <c r="G114">
        <f>+YEAR(export?format_csv_gid_612082435[[#This Row],[Fecha]])</f>
        <v>2026</v>
      </c>
      <c r="H114" t="e">
        <f>+VLOOKUP(export?format_csv_gid_612082435[[#This Row],[Valor]],Listas!A:B,2,FALSE)</f>
        <v>#N/A</v>
      </c>
    </row>
    <row r="115" spans="1:8" hidden="1" x14ac:dyDescent="0.3">
      <c r="A115" t="s">
        <v>72</v>
      </c>
      <c r="B115" t="s">
        <v>73</v>
      </c>
      <c r="C115" t="s">
        <v>78</v>
      </c>
      <c r="D115" s="19">
        <v>46163</v>
      </c>
      <c r="E115" t="s">
        <v>77</v>
      </c>
      <c r="F115">
        <f>+_xlfn.ISOWEEKNUM(export?format_csv_gid_612082435[[#This Row],[Fecha]])</f>
        <v>21</v>
      </c>
      <c r="G115">
        <f>+YEAR(export?format_csv_gid_612082435[[#This Row],[Fecha]])</f>
        <v>2026</v>
      </c>
      <c r="H115" t="e">
        <f>+VLOOKUP(export?format_csv_gid_612082435[[#This Row],[Valor]],Listas!A:B,2,FALSE)</f>
        <v>#N/A</v>
      </c>
    </row>
    <row r="116" spans="1:8" hidden="1" x14ac:dyDescent="0.3">
      <c r="A116" t="s">
        <v>72</v>
      </c>
      <c r="B116" t="s">
        <v>73</v>
      </c>
      <c r="C116" t="s">
        <v>78</v>
      </c>
      <c r="D116" s="19">
        <v>46164</v>
      </c>
      <c r="E116" t="s">
        <v>77</v>
      </c>
      <c r="F116">
        <f>+_xlfn.ISOWEEKNUM(export?format_csv_gid_612082435[[#This Row],[Fecha]])</f>
        <v>21</v>
      </c>
      <c r="G116">
        <f>+YEAR(export?format_csv_gid_612082435[[#This Row],[Fecha]])</f>
        <v>2026</v>
      </c>
      <c r="H116" t="e">
        <f>+VLOOKUP(export?format_csv_gid_612082435[[#This Row],[Valor]],Listas!A:B,2,FALSE)</f>
        <v>#N/A</v>
      </c>
    </row>
    <row r="117" spans="1:8" hidden="1" x14ac:dyDescent="0.3">
      <c r="A117" t="s">
        <v>72</v>
      </c>
      <c r="B117" t="s">
        <v>73</v>
      </c>
      <c r="C117" t="s">
        <v>78</v>
      </c>
      <c r="D117" s="19">
        <v>46165</v>
      </c>
      <c r="E117" t="s">
        <v>77</v>
      </c>
      <c r="F117">
        <f>+_xlfn.ISOWEEKNUM(export?format_csv_gid_612082435[[#This Row],[Fecha]])</f>
        <v>21</v>
      </c>
      <c r="G117">
        <f>+YEAR(export?format_csv_gid_612082435[[#This Row],[Fecha]])</f>
        <v>2026</v>
      </c>
      <c r="H117" t="e">
        <f>+VLOOKUP(export?format_csv_gid_612082435[[#This Row],[Valor]],Listas!A:B,2,FALSE)</f>
        <v>#N/A</v>
      </c>
    </row>
    <row r="118" spans="1:8" hidden="1" x14ac:dyDescent="0.3">
      <c r="A118" t="s">
        <v>72</v>
      </c>
      <c r="B118" t="s">
        <v>73</v>
      </c>
      <c r="C118" t="s">
        <v>78</v>
      </c>
      <c r="D118" s="19">
        <v>46166</v>
      </c>
      <c r="E118" t="s">
        <v>77</v>
      </c>
      <c r="F118">
        <f>+_xlfn.ISOWEEKNUM(export?format_csv_gid_612082435[[#This Row],[Fecha]])</f>
        <v>21</v>
      </c>
      <c r="G118">
        <f>+YEAR(export?format_csv_gid_612082435[[#This Row],[Fecha]])</f>
        <v>2026</v>
      </c>
      <c r="H118" t="e">
        <f>+VLOOKUP(export?format_csv_gid_612082435[[#This Row],[Valor]],Listas!A:B,2,FALSE)</f>
        <v>#N/A</v>
      </c>
    </row>
    <row r="119" spans="1:8" hidden="1" x14ac:dyDescent="0.3">
      <c r="A119" t="s">
        <v>72</v>
      </c>
      <c r="B119" t="s">
        <v>73</v>
      </c>
      <c r="C119" t="s">
        <v>78</v>
      </c>
      <c r="D119" s="19">
        <v>46167</v>
      </c>
      <c r="E119" t="s">
        <v>77</v>
      </c>
      <c r="F119">
        <f>+_xlfn.ISOWEEKNUM(export?format_csv_gid_612082435[[#This Row],[Fecha]])</f>
        <v>22</v>
      </c>
      <c r="G119">
        <f>+YEAR(export?format_csv_gid_612082435[[#This Row],[Fecha]])</f>
        <v>2026</v>
      </c>
      <c r="H119" t="e">
        <f>+VLOOKUP(export?format_csv_gid_612082435[[#This Row],[Valor]],Listas!A:B,2,FALSE)</f>
        <v>#N/A</v>
      </c>
    </row>
    <row r="120" spans="1:8" hidden="1" x14ac:dyDescent="0.3">
      <c r="A120" t="s">
        <v>72</v>
      </c>
      <c r="B120" t="s">
        <v>73</v>
      </c>
      <c r="C120" t="s">
        <v>78</v>
      </c>
      <c r="D120" s="19">
        <v>46168</v>
      </c>
      <c r="E120" t="s">
        <v>77</v>
      </c>
      <c r="F120">
        <f>+_xlfn.ISOWEEKNUM(export?format_csv_gid_612082435[[#This Row],[Fecha]])</f>
        <v>22</v>
      </c>
      <c r="G120">
        <f>+YEAR(export?format_csv_gid_612082435[[#This Row],[Fecha]])</f>
        <v>2026</v>
      </c>
      <c r="H120" t="e">
        <f>+VLOOKUP(export?format_csv_gid_612082435[[#This Row],[Valor]],Listas!A:B,2,FALSE)</f>
        <v>#N/A</v>
      </c>
    </row>
    <row r="121" spans="1:8" hidden="1" x14ac:dyDescent="0.3">
      <c r="A121" t="s">
        <v>72</v>
      </c>
      <c r="B121" t="s">
        <v>73</v>
      </c>
      <c r="C121" t="s">
        <v>78</v>
      </c>
      <c r="D121" s="19">
        <v>46169</v>
      </c>
      <c r="E121" t="s">
        <v>77</v>
      </c>
      <c r="F121">
        <f>+_xlfn.ISOWEEKNUM(export?format_csv_gid_612082435[[#This Row],[Fecha]])</f>
        <v>22</v>
      </c>
      <c r="G121">
        <f>+YEAR(export?format_csv_gid_612082435[[#This Row],[Fecha]])</f>
        <v>2026</v>
      </c>
      <c r="H121" t="e">
        <f>+VLOOKUP(export?format_csv_gid_612082435[[#This Row],[Valor]],Listas!A:B,2,FALSE)</f>
        <v>#N/A</v>
      </c>
    </row>
    <row r="122" spans="1:8" hidden="1" x14ac:dyDescent="0.3">
      <c r="A122" t="s">
        <v>72</v>
      </c>
      <c r="B122" t="s">
        <v>73</v>
      </c>
      <c r="C122" t="s">
        <v>78</v>
      </c>
      <c r="D122" s="19">
        <v>46170</v>
      </c>
      <c r="E122" t="s">
        <v>77</v>
      </c>
      <c r="F122">
        <f>+_xlfn.ISOWEEKNUM(export?format_csv_gid_612082435[[#This Row],[Fecha]])</f>
        <v>22</v>
      </c>
      <c r="G122">
        <f>+YEAR(export?format_csv_gid_612082435[[#This Row],[Fecha]])</f>
        <v>2026</v>
      </c>
      <c r="H122" t="e">
        <f>+VLOOKUP(export?format_csv_gid_612082435[[#This Row],[Valor]],Listas!A:B,2,FALSE)</f>
        <v>#N/A</v>
      </c>
    </row>
    <row r="123" spans="1:8" hidden="1" x14ac:dyDescent="0.3">
      <c r="A123" t="s">
        <v>72</v>
      </c>
      <c r="B123" t="s">
        <v>73</v>
      </c>
      <c r="C123" t="s">
        <v>78</v>
      </c>
      <c r="D123" s="19">
        <v>46171</v>
      </c>
      <c r="E123" t="s">
        <v>77</v>
      </c>
      <c r="F123">
        <f>+_xlfn.ISOWEEKNUM(export?format_csv_gid_612082435[[#This Row],[Fecha]])</f>
        <v>22</v>
      </c>
      <c r="G123">
        <f>+YEAR(export?format_csv_gid_612082435[[#This Row],[Fecha]])</f>
        <v>2026</v>
      </c>
      <c r="H123" t="e">
        <f>+VLOOKUP(export?format_csv_gid_612082435[[#This Row],[Valor]],Listas!A:B,2,FALSE)</f>
        <v>#N/A</v>
      </c>
    </row>
    <row r="124" spans="1:8" hidden="1" x14ac:dyDescent="0.3">
      <c r="A124" t="s">
        <v>72</v>
      </c>
      <c r="B124" t="s">
        <v>73</v>
      </c>
      <c r="C124" t="s">
        <v>78</v>
      </c>
      <c r="D124" s="19">
        <v>46172</v>
      </c>
      <c r="E124" t="s">
        <v>77</v>
      </c>
      <c r="F124">
        <f>+_xlfn.ISOWEEKNUM(export?format_csv_gid_612082435[[#This Row],[Fecha]])</f>
        <v>22</v>
      </c>
      <c r="G124">
        <f>+YEAR(export?format_csv_gid_612082435[[#This Row],[Fecha]])</f>
        <v>2026</v>
      </c>
      <c r="H124" t="e">
        <f>+VLOOKUP(export?format_csv_gid_612082435[[#This Row],[Valor]],Listas!A:B,2,FALSE)</f>
        <v>#N/A</v>
      </c>
    </row>
    <row r="125" spans="1:8" hidden="1" x14ac:dyDescent="0.3">
      <c r="A125" t="s">
        <v>72</v>
      </c>
      <c r="B125" t="s">
        <v>73</v>
      </c>
      <c r="C125" t="s">
        <v>78</v>
      </c>
      <c r="D125" s="19">
        <v>46173</v>
      </c>
      <c r="E125" t="s">
        <v>77</v>
      </c>
      <c r="F125">
        <f>+_xlfn.ISOWEEKNUM(export?format_csv_gid_612082435[[#This Row],[Fecha]])</f>
        <v>22</v>
      </c>
      <c r="G125">
        <f>+YEAR(export?format_csv_gid_612082435[[#This Row],[Fecha]])</f>
        <v>2026</v>
      </c>
      <c r="H125" t="e">
        <f>+VLOOKUP(export?format_csv_gid_612082435[[#This Row],[Valor]],Listas!A:B,2,FALSE)</f>
        <v>#N/A</v>
      </c>
    </row>
    <row r="126" spans="1:8" hidden="1" x14ac:dyDescent="0.3">
      <c r="A126" t="s">
        <v>72</v>
      </c>
      <c r="B126" t="s">
        <v>73</v>
      </c>
      <c r="C126" t="s">
        <v>149</v>
      </c>
      <c r="D126" s="19">
        <v>46143</v>
      </c>
      <c r="E126" t="s">
        <v>76</v>
      </c>
      <c r="F126">
        <f>+_xlfn.ISOWEEKNUM(export?format_csv_gid_612082435[[#This Row],[Fecha]])</f>
        <v>18</v>
      </c>
      <c r="G126">
        <f>+YEAR(export?format_csv_gid_612082435[[#This Row],[Fecha]])</f>
        <v>2026</v>
      </c>
      <c r="H126" t="str">
        <f>+VLOOKUP(export?format_csv_gid_612082435[[#This Row],[Valor]],Listas!A:B,2,FALSE)</f>
        <v>Asistencia</v>
      </c>
    </row>
    <row r="127" spans="1:8" hidden="1" x14ac:dyDescent="0.3">
      <c r="A127" t="s">
        <v>72</v>
      </c>
      <c r="B127" t="s">
        <v>73</v>
      </c>
      <c r="C127" t="s">
        <v>149</v>
      </c>
      <c r="D127" s="19">
        <v>46144</v>
      </c>
      <c r="E127" t="s">
        <v>76</v>
      </c>
      <c r="F127">
        <f>+_xlfn.ISOWEEKNUM(export?format_csv_gid_612082435[[#This Row],[Fecha]])</f>
        <v>18</v>
      </c>
      <c r="G127">
        <f>+YEAR(export?format_csv_gid_612082435[[#This Row],[Fecha]])</f>
        <v>2026</v>
      </c>
      <c r="H127" t="str">
        <f>+VLOOKUP(export?format_csv_gid_612082435[[#This Row],[Valor]],Listas!A:B,2,FALSE)</f>
        <v>Asistencia</v>
      </c>
    </row>
    <row r="128" spans="1:8" hidden="1" x14ac:dyDescent="0.3">
      <c r="A128" t="s">
        <v>72</v>
      </c>
      <c r="B128" t="s">
        <v>73</v>
      </c>
      <c r="C128" t="s">
        <v>149</v>
      </c>
      <c r="D128" s="19">
        <v>46145</v>
      </c>
      <c r="E128" t="s">
        <v>113</v>
      </c>
      <c r="F128">
        <f>+_xlfn.ISOWEEKNUM(export?format_csv_gid_612082435[[#This Row],[Fecha]])</f>
        <v>18</v>
      </c>
      <c r="G128">
        <f>+YEAR(export?format_csv_gid_612082435[[#This Row],[Fecha]])</f>
        <v>2026</v>
      </c>
      <c r="H128" t="str">
        <f>+VLOOKUP(export?format_csv_gid_612082435[[#This Row],[Valor]],Listas!A:B,2,FALSE)</f>
        <v>D. Remunerado</v>
      </c>
    </row>
    <row r="129" spans="1:8" hidden="1" x14ac:dyDescent="0.3">
      <c r="A129" t="s">
        <v>72</v>
      </c>
      <c r="B129" t="s">
        <v>73</v>
      </c>
      <c r="C129" t="s">
        <v>149</v>
      </c>
      <c r="D129" s="19">
        <v>46146</v>
      </c>
      <c r="E129" t="s">
        <v>76</v>
      </c>
      <c r="F129">
        <f>+_xlfn.ISOWEEKNUM(export?format_csv_gid_612082435[[#This Row],[Fecha]])</f>
        <v>19</v>
      </c>
      <c r="G129">
        <f>+YEAR(export?format_csv_gid_612082435[[#This Row],[Fecha]])</f>
        <v>2026</v>
      </c>
      <c r="H129" t="str">
        <f>+VLOOKUP(export?format_csv_gid_612082435[[#This Row],[Valor]],Listas!A:B,2,FALSE)</f>
        <v>Asistencia</v>
      </c>
    </row>
    <row r="130" spans="1:8" hidden="1" x14ac:dyDescent="0.3">
      <c r="A130" t="s">
        <v>72</v>
      </c>
      <c r="B130" t="s">
        <v>73</v>
      </c>
      <c r="C130" t="s">
        <v>149</v>
      </c>
      <c r="D130" s="19">
        <v>46147</v>
      </c>
      <c r="E130" t="s">
        <v>76</v>
      </c>
      <c r="F130">
        <f>+_xlfn.ISOWEEKNUM(export?format_csv_gid_612082435[[#This Row],[Fecha]])</f>
        <v>19</v>
      </c>
      <c r="G130">
        <f>+YEAR(export?format_csv_gid_612082435[[#This Row],[Fecha]])</f>
        <v>2026</v>
      </c>
      <c r="H130" t="str">
        <f>+VLOOKUP(export?format_csv_gid_612082435[[#This Row],[Valor]],Listas!A:B,2,FALSE)</f>
        <v>Asistencia</v>
      </c>
    </row>
    <row r="131" spans="1:8" hidden="1" x14ac:dyDescent="0.3">
      <c r="A131" t="s">
        <v>72</v>
      </c>
      <c r="B131" t="s">
        <v>73</v>
      </c>
      <c r="C131" t="s">
        <v>149</v>
      </c>
      <c r="D131" s="19">
        <v>46148</v>
      </c>
      <c r="E131" t="s">
        <v>76</v>
      </c>
      <c r="F131">
        <f>+_xlfn.ISOWEEKNUM(export?format_csv_gid_612082435[[#This Row],[Fecha]])</f>
        <v>19</v>
      </c>
      <c r="G131">
        <f>+YEAR(export?format_csv_gid_612082435[[#This Row],[Fecha]])</f>
        <v>2026</v>
      </c>
      <c r="H131" t="str">
        <f>+VLOOKUP(export?format_csv_gid_612082435[[#This Row],[Valor]],Listas!A:B,2,FALSE)</f>
        <v>Asistencia</v>
      </c>
    </row>
    <row r="132" spans="1:8" hidden="1" x14ac:dyDescent="0.3">
      <c r="A132" t="s">
        <v>72</v>
      </c>
      <c r="B132" t="s">
        <v>73</v>
      </c>
      <c r="C132" t="s">
        <v>149</v>
      </c>
      <c r="D132" s="19">
        <v>46149</v>
      </c>
      <c r="E132" t="s">
        <v>76</v>
      </c>
      <c r="F132">
        <f>+_xlfn.ISOWEEKNUM(export?format_csv_gid_612082435[[#This Row],[Fecha]])</f>
        <v>19</v>
      </c>
      <c r="G132">
        <f>+YEAR(export?format_csv_gid_612082435[[#This Row],[Fecha]])</f>
        <v>2026</v>
      </c>
      <c r="H132" t="str">
        <f>+VLOOKUP(export?format_csv_gid_612082435[[#This Row],[Valor]],Listas!A:B,2,FALSE)</f>
        <v>Asistencia</v>
      </c>
    </row>
    <row r="133" spans="1:8" hidden="1" x14ac:dyDescent="0.3">
      <c r="A133" t="s">
        <v>72</v>
      </c>
      <c r="B133" t="s">
        <v>73</v>
      </c>
      <c r="C133" t="s">
        <v>149</v>
      </c>
      <c r="D133" s="19">
        <v>46150</v>
      </c>
      <c r="E133" t="s">
        <v>76</v>
      </c>
      <c r="F133">
        <f>+_xlfn.ISOWEEKNUM(export?format_csv_gid_612082435[[#This Row],[Fecha]])</f>
        <v>19</v>
      </c>
      <c r="G133">
        <f>+YEAR(export?format_csv_gid_612082435[[#This Row],[Fecha]])</f>
        <v>2026</v>
      </c>
      <c r="H133" t="str">
        <f>+VLOOKUP(export?format_csv_gid_612082435[[#This Row],[Valor]],Listas!A:B,2,FALSE)</f>
        <v>Asistencia</v>
      </c>
    </row>
    <row r="134" spans="1:8" hidden="1" x14ac:dyDescent="0.3">
      <c r="A134" t="s">
        <v>72</v>
      </c>
      <c r="B134" t="s">
        <v>73</v>
      </c>
      <c r="C134" t="s">
        <v>149</v>
      </c>
      <c r="D134" s="19">
        <v>46151</v>
      </c>
      <c r="E134" t="s">
        <v>76</v>
      </c>
      <c r="F134">
        <f>+_xlfn.ISOWEEKNUM(export?format_csv_gid_612082435[[#This Row],[Fecha]])</f>
        <v>19</v>
      </c>
      <c r="G134">
        <f>+YEAR(export?format_csv_gid_612082435[[#This Row],[Fecha]])</f>
        <v>2026</v>
      </c>
      <c r="H134" t="str">
        <f>+VLOOKUP(export?format_csv_gid_612082435[[#This Row],[Valor]],Listas!A:B,2,FALSE)</f>
        <v>Asistencia</v>
      </c>
    </row>
    <row r="135" spans="1:8" hidden="1" x14ac:dyDescent="0.3">
      <c r="A135" t="s">
        <v>72</v>
      </c>
      <c r="B135" t="s">
        <v>73</v>
      </c>
      <c r="C135" t="s">
        <v>149</v>
      </c>
      <c r="D135" s="19">
        <v>46152</v>
      </c>
      <c r="E135" t="s">
        <v>113</v>
      </c>
      <c r="F135">
        <f>+_xlfn.ISOWEEKNUM(export?format_csv_gid_612082435[[#This Row],[Fecha]])</f>
        <v>19</v>
      </c>
      <c r="G135">
        <f>+YEAR(export?format_csv_gid_612082435[[#This Row],[Fecha]])</f>
        <v>2026</v>
      </c>
      <c r="H135" t="str">
        <f>+VLOOKUP(export?format_csv_gid_612082435[[#This Row],[Valor]],Listas!A:B,2,FALSE)</f>
        <v>D. Remunerado</v>
      </c>
    </row>
    <row r="136" spans="1:8" hidden="1" x14ac:dyDescent="0.3">
      <c r="A136" t="s">
        <v>72</v>
      </c>
      <c r="B136" t="s">
        <v>73</v>
      </c>
      <c r="C136" t="s">
        <v>149</v>
      </c>
      <c r="D136" s="19">
        <v>46153</v>
      </c>
      <c r="E136" t="s">
        <v>76</v>
      </c>
      <c r="F136">
        <f>+_xlfn.ISOWEEKNUM(export?format_csv_gid_612082435[[#This Row],[Fecha]])</f>
        <v>20</v>
      </c>
      <c r="G136">
        <f>+YEAR(export?format_csv_gid_612082435[[#This Row],[Fecha]])</f>
        <v>2026</v>
      </c>
      <c r="H136" t="str">
        <f>+VLOOKUP(export?format_csv_gid_612082435[[#This Row],[Valor]],Listas!A:B,2,FALSE)</f>
        <v>Asistencia</v>
      </c>
    </row>
    <row r="137" spans="1:8" hidden="1" x14ac:dyDescent="0.3">
      <c r="A137" t="s">
        <v>72</v>
      </c>
      <c r="B137" t="s">
        <v>73</v>
      </c>
      <c r="C137" t="s">
        <v>149</v>
      </c>
      <c r="D137" s="19">
        <v>46154</v>
      </c>
      <c r="E137" t="s">
        <v>76</v>
      </c>
      <c r="F137">
        <f>+_xlfn.ISOWEEKNUM(export?format_csv_gid_612082435[[#This Row],[Fecha]])</f>
        <v>20</v>
      </c>
      <c r="G137">
        <f>+YEAR(export?format_csv_gid_612082435[[#This Row],[Fecha]])</f>
        <v>2026</v>
      </c>
      <c r="H137" t="str">
        <f>+VLOOKUP(export?format_csv_gid_612082435[[#This Row],[Valor]],Listas!A:B,2,FALSE)</f>
        <v>Asistencia</v>
      </c>
    </row>
    <row r="138" spans="1:8" hidden="1" x14ac:dyDescent="0.3">
      <c r="A138" t="s">
        <v>72</v>
      </c>
      <c r="B138" t="s">
        <v>73</v>
      </c>
      <c r="C138" t="s">
        <v>149</v>
      </c>
      <c r="D138" s="19">
        <v>46155</v>
      </c>
      <c r="E138" t="s">
        <v>76</v>
      </c>
      <c r="F138">
        <f>+_xlfn.ISOWEEKNUM(export?format_csv_gid_612082435[[#This Row],[Fecha]])</f>
        <v>20</v>
      </c>
      <c r="G138">
        <f>+YEAR(export?format_csv_gid_612082435[[#This Row],[Fecha]])</f>
        <v>2026</v>
      </c>
      <c r="H138" t="str">
        <f>+VLOOKUP(export?format_csv_gid_612082435[[#This Row],[Valor]],Listas!A:B,2,FALSE)</f>
        <v>Asistencia</v>
      </c>
    </row>
    <row r="139" spans="1:8" hidden="1" x14ac:dyDescent="0.3">
      <c r="A139" t="s">
        <v>72</v>
      </c>
      <c r="B139" t="s">
        <v>73</v>
      </c>
      <c r="C139" t="s">
        <v>149</v>
      </c>
      <c r="D139" s="19">
        <v>46156</v>
      </c>
      <c r="E139" t="s">
        <v>76</v>
      </c>
      <c r="F139">
        <f>+_xlfn.ISOWEEKNUM(export?format_csv_gid_612082435[[#This Row],[Fecha]])</f>
        <v>20</v>
      </c>
      <c r="G139">
        <f>+YEAR(export?format_csv_gid_612082435[[#This Row],[Fecha]])</f>
        <v>2026</v>
      </c>
      <c r="H139" t="str">
        <f>+VLOOKUP(export?format_csv_gid_612082435[[#This Row],[Valor]],Listas!A:B,2,FALSE)</f>
        <v>Asistencia</v>
      </c>
    </row>
    <row r="140" spans="1:8" hidden="1" x14ac:dyDescent="0.3">
      <c r="A140" t="s">
        <v>72</v>
      </c>
      <c r="B140" t="s">
        <v>73</v>
      </c>
      <c r="C140" t="s">
        <v>149</v>
      </c>
      <c r="D140" s="19">
        <v>46157</v>
      </c>
      <c r="E140" t="s">
        <v>76</v>
      </c>
      <c r="F140">
        <f>+_xlfn.ISOWEEKNUM(export?format_csv_gid_612082435[[#This Row],[Fecha]])</f>
        <v>20</v>
      </c>
      <c r="G140">
        <f>+YEAR(export?format_csv_gid_612082435[[#This Row],[Fecha]])</f>
        <v>2026</v>
      </c>
      <c r="H140" t="str">
        <f>+VLOOKUP(export?format_csv_gid_612082435[[#This Row],[Valor]],Listas!A:B,2,FALSE)</f>
        <v>Asistencia</v>
      </c>
    </row>
    <row r="141" spans="1:8" hidden="1" x14ac:dyDescent="0.3">
      <c r="A141" t="s">
        <v>72</v>
      </c>
      <c r="B141" t="s">
        <v>73</v>
      </c>
      <c r="C141" t="s">
        <v>149</v>
      </c>
      <c r="D141" s="19">
        <v>46158</v>
      </c>
      <c r="E141" t="s">
        <v>77</v>
      </c>
      <c r="F141">
        <f>+_xlfn.ISOWEEKNUM(export?format_csv_gid_612082435[[#This Row],[Fecha]])</f>
        <v>20</v>
      </c>
      <c r="G141">
        <f>+YEAR(export?format_csv_gid_612082435[[#This Row],[Fecha]])</f>
        <v>2026</v>
      </c>
      <c r="H141" t="e">
        <f>+VLOOKUP(export?format_csv_gid_612082435[[#This Row],[Valor]],Listas!A:B,2,FALSE)</f>
        <v>#N/A</v>
      </c>
    </row>
    <row r="142" spans="1:8" hidden="1" x14ac:dyDescent="0.3">
      <c r="A142" t="s">
        <v>72</v>
      </c>
      <c r="B142" t="s">
        <v>73</v>
      </c>
      <c r="C142" t="s">
        <v>149</v>
      </c>
      <c r="D142" s="19">
        <v>46159</v>
      </c>
      <c r="E142" t="s">
        <v>77</v>
      </c>
      <c r="F142">
        <f>+_xlfn.ISOWEEKNUM(export?format_csv_gid_612082435[[#This Row],[Fecha]])</f>
        <v>20</v>
      </c>
      <c r="G142">
        <f>+YEAR(export?format_csv_gid_612082435[[#This Row],[Fecha]])</f>
        <v>2026</v>
      </c>
      <c r="H142" t="e">
        <f>+VLOOKUP(export?format_csv_gid_612082435[[#This Row],[Valor]],Listas!A:B,2,FALSE)</f>
        <v>#N/A</v>
      </c>
    </row>
    <row r="143" spans="1:8" hidden="1" x14ac:dyDescent="0.3">
      <c r="A143" t="s">
        <v>72</v>
      </c>
      <c r="B143" t="s">
        <v>73</v>
      </c>
      <c r="C143" t="s">
        <v>149</v>
      </c>
      <c r="D143" s="19">
        <v>46160</v>
      </c>
      <c r="E143" t="s">
        <v>77</v>
      </c>
      <c r="F143">
        <f>+_xlfn.ISOWEEKNUM(export?format_csv_gid_612082435[[#This Row],[Fecha]])</f>
        <v>21</v>
      </c>
      <c r="G143">
        <f>+YEAR(export?format_csv_gid_612082435[[#This Row],[Fecha]])</f>
        <v>2026</v>
      </c>
      <c r="H143" t="e">
        <f>+VLOOKUP(export?format_csv_gid_612082435[[#This Row],[Valor]],Listas!A:B,2,FALSE)</f>
        <v>#N/A</v>
      </c>
    </row>
    <row r="144" spans="1:8" hidden="1" x14ac:dyDescent="0.3">
      <c r="A144" t="s">
        <v>72</v>
      </c>
      <c r="B144" t="s">
        <v>73</v>
      </c>
      <c r="C144" t="s">
        <v>149</v>
      </c>
      <c r="D144" s="19">
        <v>46161</v>
      </c>
      <c r="E144" t="s">
        <v>77</v>
      </c>
      <c r="F144">
        <f>+_xlfn.ISOWEEKNUM(export?format_csv_gid_612082435[[#This Row],[Fecha]])</f>
        <v>21</v>
      </c>
      <c r="G144">
        <f>+YEAR(export?format_csv_gid_612082435[[#This Row],[Fecha]])</f>
        <v>2026</v>
      </c>
      <c r="H144" t="e">
        <f>+VLOOKUP(export?format_csv_gid_612082435[[#This Row],[Valor]],Listas!A:B,2,FALSE)</f>
        <v>#N/A</v>
      </c>
    </row>
    <row r="145" spans="1:8" hidden="1" x14ac:dyDescent="0.3">
      <c r="A145" t="s">
        <v>72</v>
      </c>
      <c r="B145" t="s">
        <v>73</v>
      </c>
      <c r="C145" t="s">
        <v>149</v>
      </c>
      <c r="D145" s="19">
        <v>46162</v>
      </c>
      <c r="E145" t="s">
        <v>77</v>
      </c>
      <c r="F145">
        <f>+_xlfn.ISOWEEKNUM(export?format_csv_gid_612082435[[#This Row],[Fecha]])</f>
        <v>21</v>
      </c>
      <c r="G145">
        <f>+YEAR(export?format_csv_gid_612082435[[#This Row],[Fecha]])</f>
        <v>2026</v>
      </c>
      <c r="H145" t="e">
        <f>+VLOOKUP(export?format_csv_gid_612082435[[#This Row],[Valor]],Listas!A:B,2,FALSE)</f>
        <v>#N/A</v>
      </c>
    </row>
    <row r="146" spans="1:8" hidden="1" x14ac:dyDescent="0.3">
      <c r="A146" t="s">
        <v>72</v>
      </c>
      <c r="B146" t="s">
        <v>73</v>
      </c>
      <c r="C146" t="s">
        <v>149</v>
      </c>
      <c r="D146" s="19">
        <v>46163</v>
      </c>
      <c r="E146" t="s">
        <v>77</v>
      </c>
      <c r="F146">
        <f>+_xlfn.ISOWEEKNUM(export?format_csv_gid_612082435[[#This Row],[Fecha]])</f>
        <v>21</v>
      </c>
      <c r="G146">
        <f>+YEAR(export?format_csv_gid_612082435[[#This Row],[Fecha]])</f>
        <v>2026</v>
      </c>
      <c r="H146" t="e">
        <f>+VLOOKUP(export?format_csv_gid_612082435[[#This Row],[Valor]],Listas!A:B,2,FALSE)</f>
        <v>#N/A</v>
      </c>
    </row>
    <row r="147" spans="1:8" hidden="1" x14ac:dyDescent="0.3">
      <c r="A147" t="s">
        <v>72</v>
      </c>
      <c r="B147" t="s">
        <v>73</v>
      </c>
      <c r="C147" t="s">
        <v>149</v>
      </c>
      <c r="D147" s="19">
        <v>46164</v>
      </c>
      <c r="E147" t="s">
        <v>77</v>
      </c>
      <c r="F147">
        <f>+_xlfn.ISOWEEKNUM(export?format_csv_gid_612082435[[#This Row],[Fecha]])</f>
        <v>21</v>
      </c>
      <c r="G147">
        <f>+YEAR(export?format_csv_gid_612082435[[#This Row],[Fecha]])</f>
        <v>2026</v>
      </c>
      <c r="H147" t="e">
        <f>+VLOOKUP(export?format_csv_gid_612082435[[#This Row],[Valor]],Listas!A:B,2,FALSE)</f>
        <v>#N/A</v>
      </c>
    </row>
    <row r="148" spans="1:8" hidden="1" x14ac:dyDescent="0.3">
      <c r="A148" t="s">
        <v>72</v>
      </c>
      <c r="B148" t="s">
        <v>73</v>
      </c>
      <c r="C148" t="s">
        <v>149</v>
      </c>
      <c r="D148" s="19">
        <v>46165</v>
      </c>
      <c r="E148" t="s">
        <v>77</v>
      </c>
      <c r="F148">
        <f>+_xlfn.ISOWEEKNUM(export?format_csv_gid_612082435[[#This Row],[Fecha]])</f>
        <v>21</v>
      </c>
      <c r="G148">
        <f>+YEAR(export?format_csv_gid_612082435[[#This Row],[Fecha]])</f>
        <v>2026</v>
      </c>
      <c r="H148" t="e">
        <f>+VLOOKUP(export?format_csv_gid_612082435[[#This Row],[Valor]],Listas!A:B,2,FALSE)</f>
        <v>#N/A</v>
      </c>
    </row>
    <row r="149" spans="1:8" hidden="1" x14ac:dyDescent="0.3">
      <c r="A149" t="s">
        <v>72</v>
      </c>
      <c r="B149" t="s">
        <v>73</v>
      </c>
      <c r="C149" t="s">
        <v>149</v>
      </c>
      <c r="D149" s="19">
        <v>46166</v>
      </c>
      <c r="E149" t="s">
        <v>77</v>
      </c>
      <c r="F149">
        <f>+_xlfn.ISOWEEKNUM(export?format_csv_gid_612082435[[#This Row],[Fecha]])</f>
        <v>21</v>
      </c>
      <c r="G149">
        <f>+YEAR(export?format_csv_gid_612082435[[#This Row],[Fecha]])</f>
        <v>2026</v>
      </c>
      <c r="H149" t="e">
        <f>+VLOOKUP(export?format_csv_gid_612082435[[#This Row],[Valor]],Listas!A:B,2,FALSE)</f>
        <v>#N/A</v>
      </c>
    </row>
    <row r="150" spans="1:8" hidden="1" x14ac:dyDescent="0.3">
      <c r="A150" t="s">
        <v>72</v>
      </c>
      <c r="B150" t="s">
        <v>73</v>
      </c>
      <c r="C150" t="s">
        <v>149</v>
      </c>
      <c r="D150" s="19">
        <v>46167</v>
      </c>
      <c r="E150" t="s">
        <v>77</v>
      </c>
      <c r="F150">
        <f>+_xlfn.ISOWEEKNUM(export?format_csv_gid_612082435[[#This Row],[Fecha]])</f>
        <v>22</v>
      </c>
      <c r="G150">
        <f>+YEAR(export?format_csv_gid_612082435[[#This Row],[Fecha]])</f>
        <v>2026</v>
      </c>
      <c r="H150" t="e">
        <f>+VLOOKUP(export?format_csv_gid_612082435[[#This Row],[Valor]],Listas!A:B,2,FALSE)</f>
        <v>#N/A</v>
      </c>
    </row>
    <row r="151" spans="1:8" hidden="1" x14ac:dyDescent="0.3">
      <c r="A151" t="s">
        <v>72</v>
      </c>
      <c r="B151" t="s">
        <v>73</v>
      </c>
      <c r="C151" t="s">
        <v>149</v>
      </c>
      <c r="D151" s="19">
        <v>46168</v>
      </c>
      <c r="E151" t="s">
        <v>77</v>
      </c>
      <c r="F151">
        <f>+_xlfn.ISOWEEKNUM(export?format_csv_gid_612082435[[#This Row],[Fecha]])</f>
        <v>22</v>
      </c>
      <c r="G151">
        <f>+YEAR(export?format_csv_gid_612082435[[#This Row],[Fecha]])</f>
        <v>2026</v>
      </c>
      <c r="H151" t="e">
        <f>+VLOOKUP(export?format_csv_gid_612082435[[#This Row],[Valor]],Listas!A:B,2,FALSE)</f>
        <v>#N/A</v>
      </c>
    </row>
    <row r="152" spans="1:8" hidden="1" x14ac:dyDescent="0.3">
      <c r="A152" t="s">
        <v>72</v>
      </c>
      <c r="B152" t="s">
        <v>73</v>
      </c>
      <c r="C152" t="s">
        <v>149</v>
      </c>
      <c r="D152" s="19">
        <v>46169</v>
      </c>
      <c r="E152" t="s">
        <v>77</v>
      </c>
      <c r="F152">
        <f>+_xlfn.ISOWEEKNUM(export?format_csv_gid_612082435[[#This Row],[Fecha]])</f>
        <v>22</v>
      </c>
      <c r="G152">
        <f>+YEAR(export?format_csv_gid_612082435[[#This Row],[Fecha]])</f>
        <v>2026</v>
      </c>
      <c r="H152" t="e">
        <f>+VLOOKUP(export?format_csv_gid_612082435[[#This Row],[Valor]],Listas!A:B,2,FALSE)</f>
        <v>#N/A</v>
      </c>
    </row>
    <row r="153" spans="1:8" hidden="1" x14ac:dyDescent="0.3">
      <c r="A153" t="s">
        <v>72</v>
      </c>
      <c r="B153" t="s">
        <v>73</v>
      </c>
      <c r="C153" t="s">
        <v>149</v>
      </c>
      <c r="D153" s="19">
        <v>46170</v>
      </c>
      <c r="E153" t="s">
        <v>77</v>
      </c>
      <c r="F153">
        <f>+_xlfn.ISOWEEKNUM(export?format_csv_gid_612082435[[#This Row],[Fecha]])</f>
        <v>22</v>
      </c>
      <c r="G153">
        <f>+YEAR(export?format_csv_gid_612082435[[#This Row],[Fecha]])</f>
        <v>2026</v>
      </c>
      <c r="H153" t="e">
        <f>+VLOOKUP(export?format_csv_gid_612082435[[#This Row],[Valor]],Listas!A:B,2,FALSE)</f>
        <v>#N/A</v>
      </c>
    </row>
    <row r="154" spans="1:8" hidden="1" x14ac:dyDescent="0.3">
      <c r="A154" t="s">
        <v>72</v>
      </c>
      <c r="B154" t="s">
        <v>73</v>
      </c>
      <c r="C154" t="s">
        <v>149</v>
      </c>
      <c r="D154" s="19">
        <v>46171</v>
      </c>
      <c r="E154" t="s">
        <v>77</v>
      </c>
      <c r="F154">
        <f>+_xlfn.ISOWEEKNUM(export?format_csv_gid_612082435[[#This Row],[Fecha]])</f>
        <v>22</v>
      </c>
      <c r="G154">
        <f>+YEAR(export?format_csv_gid_612082435[[#This Row],[Fecha]])</f>
        <v>2026</v>
      </c>
      <c r="H154" t="e">
        <f>+VLOOKUP(export?format_csv_gid_612082435[[#This Row],[Valor]],Listas!A:B,2,FALSE)</f>
        <v>#N/A</v>
      </c>
    </row>
    <row r="155" spans="1:8" hidden="1" x14ac:dyDescent="0.3">
      <c r="A155" t="s">
        <v>72</v>
      </c>
      <c r="B155" t="s">
        <v>73</v>
      </c>
      <c r="C155" t="s">
        <v>149</v>
      </c>
      <c r="D155" s="19">
        <v>46172</v>
      </c>
      <c r="E155" t="s">
        <v>77</v>
      </c>
      <c r="F155">
        <f>+_xlfn.ISOWEEKNUM(export?format_csv_gid_612082435[[#This Row],[Fecha]])</f>
        <v>22</v>
      </c>
      <c r="G155">
        <f>+YEAR(export?format_csv_gid_612082435[[#This Row],[Fecha]])</f>
        <v>2026</v>
      </c>
      <c r="H155" t="e">
        <f>+VLOOKUP(export?format_csv_gid_612082435[[#This Row],[Valor]],Listas!A:B,2,FALSE)</f>
        <v>#N/A</v>
      </c>
    </row>
    <row r="156" spans="1:8" hidden="1" x14ac:dyDescent="0.3">
      <c r="A156" t="s">
        <v>72</v>
      </c>
      <c r="B156" t="s">
        <v>73</v>
      </c>
      <c r="C156" t="s">
        <v>149</v>
      </c>
      <c r="D156" s="19">
        <v>46173</v>
      </c>
      <c r="E156" t="s">
        <v>77</v>
      </c>
      <c r="F156">
        <f>+_xlfn.ISOWEEKNUM(export?format_csv_gid_612082435[[#This Row],[Fecha]])</f>
        <v>22</v>
      </c>
      <c r="G156">
        <f>+YEAR(export?format_csv_gid_612082435[[#This Row],[Fecha]])</f>
        <v>2026</v>
      </c>
      <c r="H156" t="e">
        <f>+VLOOKUP(export?format_csv_gid_612082435[[#This Row],[Valor]],Listas!A:B,2,FALSE)</f>
        <v>#N/A</v>
      </c>
    </row>
    <row r="157" spans="1:8" hidden="1" x14ac:dyDescent="0.3">
      <c r="A157" t="s">
        <v>72</v>
      </c>
      <c r="B157" t="s">
        <v>79</v>
      </c>
      <c r="C157" t="s">
        <v>80</v>
      </c>
      <c r="D157" s="19">
        <v>46143</v>
      </c>
      <c r="E157" t="s">
        <v>76</v>
      </c>
      <c r="F157">
        <f>+_xlfn.ISOWEEKNUM(export?format_csv_gid_612082435[[#This Row],[Fecha]])</f>
        <v>18</v>
      </c>
      <c r="G157">
        <f>+YEAR(export?format_csv_gid_612082435[[#This Row],[Fecha]])</f>
        <v>2026</v>
      </c>
      <c r="H157" t="str">
        <f>+VLOOKUP(export?format_csv_gid_612082435[[#This Row],[Valor]],Listas!A:B,2,FALSE)</f>
        <v>Asistencia</v>
      </c>
    </row>
    <row r="158" spans="1:8" hidden="1" x14ac:dyDescent="0.3">
      <c r="A158" t="s">
        <v>72</v>
      </c>
      <c r="B158" t="s">
        <v>79</v>
      </c>
      <c r="C158" t="s">
        <v>80</v>
      </c>
      <c r="D158" s="19">
        <v>46144</v>
      </c>
      <c r="E158" t="s">
        <v>76</v>
      </c>
      <c r="F158">
        <f>+_xlfn.ISOWEEKNUM(export?format_csv_gid_612082435[[#This Row],[Fecha]])</f>
        <v>18</v>
      </c>
      <c r="G158">
        <f>+YEAR(export?format_csv_gid_612082435[[#This Row],[Fecha]])</f>
        <v>2026</v>
      </c>
      <c r="H158" t="str">
        <f>+VLOOKUP(export?format_csv_gid_612082435[[#This Row],[Valor]],Listas!A:B,2,FALSE)</f>
        <v>Asistencia</v>
      </c>
    </row>
    <row r="159" spans="1:8" hidden="1" x14ac:dyDescent="0.3">
      <c r="A159" t="s">
        <v>72</v>
      </c>
      <c r="B159" t="s">
        <v>79</v>
      </c>
      <c r="C159" t="s">
        <v>80</v>
      </c>
      <c r="D159" s="19">
        <v>46145</v>
      </c>
      <c r="E159" t="s">
        <v>76</v>
      </c>
      <c r="F159">
        <f>+_xlfn.ISOWEEKNUM(export?format_csv_gid_612082435[[#This Row],[Fecha]])</f>
        <v>18</v>
      </c>
      <c r="G159">
        <f>+YEAR(export?format_csv_gid_612082435[[#This Row],[Fecha]])</f>
        <v>2026</v>
      </c>
      <c r="H159" t="str">
        <f>+VLOOKUP(export?format_csv_gid_612082435[[#This Row],[Valor]],Listas!A:B,2,FALSE)</f>
        <v>Asistencia</v>
      </c>
    </row>
    <row r="160" spans="1:8" hidden="1" x14ac:dyDescent="0.3">
      <c r="A160" t="s">
        <v>72</v>
      </c>
      <c r="B160" t="s">
        <v>79</v>
      </c>
      <c r="C160" t="s">
        <v>80</v>
      </c>
      <c r="D160" s="19">
        <v>46146</v>
      </c>
      <c r="E160" t="s">
        <v>76</v>
      </c>
      <c r="F160">
        <f>+_xlfn.ISOWEEKNUM(export?format_csv_gid_612082435[[#This Row],[Fecha]])</f>
        <v>19</v>
      </c>
      <c r="G160">
        <f>+YEAR(export?format_csv_gid_612082435[[#This Row],[Fecha]])</f>
        <v>2026</v>
      </c>
      <c r="H160" t="str">
        <f>+VLOOKUP(export?format_csv_gid_612082435[[#This Row],[Valor]],Listas!A:B,2,FALSE)</f>
        <v>Asistencia</v>
      </c>
    </row>
    <row r="161" spans="1:8" hidden="1" x14ac:dyDescent="0.3">
      <c r="A161" t="s">
        <v>72</v>
      </c>
      <c r="B161" t="s">
        <v>79</v>
      </c>
      <c r="C161" t="s">
        <v>80</v>
      </c>
      <c r="D161" s="19">
        <v>46147</v>
      </c>
      <c r="E161" t="s">
        <v>76</v>
      </c>
      <c r="F161">
        <f>+_xlfn.ISOWEEKNUM(export?format_csv_gid_612082435[[#This Row],[Fecha]])</f>
        <v>19</v>
      </c>
      <c r="G161">
        <f>+YEAR(export?format_csv_gid_612082435[[#This Row],[Fecha]])</f>
        <v>2026</v>
      </c>
      <c r="H161" t="str">
        <f>+VLOOKUP(export?format_csv_gid_612082435[[#This Row],[Valor]],Listas!A:B,2,FALSE)</f>
        <v>Asistencia</v>
      </c>
    </row>
    <row r="162" spans="1:8" hidden="1" x14ac:dyDescent="0.3">
      <c r="A162" t="s">
        <v>72</v>
      </c>
      <c r="B162" t="s">
        <v>79</v>
      </c>
      <c r="C162" t="s">
        <v>80</v>
      </c>
      <c r="D162" s="19">
        <v>46148</v>
      </c>
      <c r="E162" t="s">
        <v>76</v>
      </c>
      <c r="F162">
        <f>+_xlfn.ISOWEEKNUM(export?format_csv_gid_612082435[[#This Row],[Fecha]])</f>
        <v>19</v>
      </c>
      <c r="G162">
        <f>+YEAR(export?format_csv_gid_612082435[[#This Row],[Fecha]])</f>
        <v>2026</v>
      </c>
      <c r="H162" t="str">
        <f>+VLOOKUP(export?format_csv_gid_612082435[[#This Row],[Valor]],Listas!A:B,2,FALSE)</f>
        <v>Asistencia</v>
      </c>
    </row>
    <row r="163" spans="1:8" hidden="1" x14ac:dyDescent="0.3">
      <c r="A163" t="s">
        <v>72</v>
      </c>
      <c r="B163" t="s">
        <v>79</v>
      </c>
      <c r="C163" t="s">
        <v>80</v>
      </c>
      <c r="D163" s="19">
        <v>46149</v>
      </c>
      <c r="E163" t="s">
        <v>76</v>
      </c>
      <c r="F163">
        <f>+_xlfn.ISOWEEKNUM(export?format_csv_gid_612082435[[#This Row],[Fecha]])</f>
        <v>19</v>
      </c>
      <c r="G163">
        <f>+YEAR(export?format_csv_gid_612082435[[#This Row],[Fecha]])</f>
        <v>2026</v>
      </c>
      <c r="H163" t="str">
        <f>+VLOOKUP(export?format_csv_gid_612082435[[#This Row],[Valor]],Listas!A:B,2,FALSE)</f>
        <v>Asistencia</v>
      </c>
    </row>
    <row r="164" spans="1:8" hidden="1" x14ac:dyDescent="0.3">
      <c r="A164" t="s">
        <v>72</v>
      </c>
      <c r="B164" t="s">
        <v>79</v>
      </c>
      <c r="C164" t="s">
        <v>80</v>
      </c>
      <c r="D164" s="19">
        <v>46150</v>
      </c>
      <c r="E164" t="s">
        <v>76</v>
      </c>
      <c r="F164">
        <f>+_xlfn.ISOWEEKNUM(export?format_csv_gid_612082435[[#This Row],[Fecha]])</f>
        <v>19</v>
      </c>
      <c r="G164">
        <f>+YEAR(export?format_csv_gid_612082435[[#This Row],[Fecha]])</f>
        <v>2026</v>
      </c>
      <c r="H164" t="str">
        <f>+VLOOKUP(export?format_csv_gid_612082435[[#This Row],[Valor]],Listas!A:B,2,FALSE)</f>
        <v>Asistencia</v>
      </c>
    </row>
    <row r="165" spans="1:8" hidden="1" x14ac:dyDescent="0.3">
      <c r="A165" t="s">
        <v>72</v>
      </c>
      <c r="B165" t="s">
        <v>79</v>
      </c>
      <c r="C165" t="s">
        <v>80</v>
      </c>
      <c r="D165" s="19">
        <v>46151</v>
      </c>
      <c r="E165" t="s">
        <v>76</v>
      </c>
      <c r="F165">
        <f>+_xlfn.ISOWEEKNUM(export?format_csv_gid_612082435[[#This Row],[Fecha]])</f>
        <v>19</v>
      </c>
      <c r="G165">
        <f>+YEAR(export?format_csv_gid_612082435[[#This Row],[Fecha]])</f>
        <v>2026</v>
      </c>
      <c r="H165" t="str">
        <f>+VLOOKUP(export?format_csv_gid_612082435[[#This Row],[Valor]],Listas!A:B,2,FALSE)</f>
        <v>Asistencia</v>
      </c>
    </row>
    <row r="166" spans="1:8" hidden="1" x14ac:dyDescent="0.3">
      <c r="A166" t="s">
        <v>72</v>
      </c>
      <c r="B166" t="s">
        <v>79</v>
      </c>
      <c r="C166" t="s">
        <v>80</v>
      </c>
      <c r="D166" s="19">
        <v>46152</v>
      </c>
      <c r="E166" t="s">
        <v>113</v>
      </c>
      <c r="F166">
        <f>+_xlfn.ISOWEEKNUM(export?format_csv_gid_612082435[[#This Row],[Fecha]])</f>
        <v>19</v>
      </c>
      <c r="G166">
        <f>+YEAR(export?format_csv_gid_612082435[[#This Row],[Fecha]])</f>
        <v>2026</v>
      </c>
      <c r="H166" t="str">
        <f>+VLOOKUP(export?format_csv_gid_612082435[[#This Row],[Valor]],Listas!A:B,2,FALSE)</f>
        <v>D. Remunerado</v>
      </c>
    </row>
    <row r="167" spans="1:8" hidden="1" x14ac:dyDescent="0.3">
      <c r="A167" t="s">
        <v>72</v>
      </c>
      <c r="B167" t="s">
        <v>79</v>
      </c>
      <c r="C167" t="s">
        <v>80</v>
      </c>
      <c r="D167" s="19">
        <v>46153</v>
      </c>
      <c r="E167" t="s">
        <v>76</v>
      </c>
      <c r="F167">
        <f>+_xlfn.ISOWEEKNUM(export?format_csv_gid_612082435[[#This Row],[Fecha]])</f>
        <v>20</v>
      </c>
      <c r="G167">
        <f>+YEAR(export?format_csv_gid_612082435[[#This Row],[Fecha]])</f>
        <v>2026</v>
      </c>
      <c r="H167" t="str">
        <f>+VLOOKUP(export?format_csv_gid_612082435[[#This Row],[Valor]],Listas!A:B,2,FALSE)</f>
        <v>Asistencia</v>
      </c>
    </row>
    <row r="168" spans="1:8" hidden="1" x14ac:dyDescent="0.3">
      <c r="A168" t="s">
        <v>72</v>
      </c>
      <c r="B168" t="s">
        <v>79</v>
      </c>
      <c r="C168" t="s">
        <v>80</v>
      </c>
      <c r="D168" s="19">
        <v>46154</v>
      </c>
      <c r="E168" t="s">
        <v>76</v>
      </c>
      <c r="F168">
        <f>+_xlfn.ISOWEEKNUM(export?format_csv_gid_612082435[[#This Row],[Fecha]])</f>
        <v>20</v>
      </c>
      <c r="G168">
        <f>+YEAR(export?format_csv_gid_612082435[[#This Row],[Fecha]])</f>
        <v>2026</v>
      </c>
      <c r="H168" t="str">
        <f>+VLOOKUP(export?format_csv_gid_612082435[[#This Row],[Valor]],Listas!A:B,2,FALSE)</f>
        <v>Asistencia</v>
      </c>
    </row>
    <row r="169" spans="1:8" hidden="1" x14ac:dyDescent="0.3">
      <c r="A169" t="s">
        <v>72</v>
      </c>
      <c r="B169" t="s">
        <v>79</v>
      </c>
      <c r="C169" t="s">
        <v>80</v>
      </c>
      <c r="D169" s="19">
        <v>46155</v>
      </c>
      <c r="E169" t="s">
        <v>76</v>
      </c>
      <c r="F169">
        <f>+_xlfn.ISOWEEKNUM(export?format_csv_gid_612082435[[#This Row],[Fecha]])</f>
        <v>20</v>
      </c>
      <c r="G169">
        <f>+YEAR(export?format_csv_gid_612082435[[#This Row],[Fecha]])</f>
        <v>2026</v>
      </c>
      <c r="H169" t="str">
        <f>+VLOOKUP(export?format_csv_gid_612082435[[#This Row],[Valor]],Listas!A:B,2,FALSE)</f>
        <v>Asistencia</v>
      </c>
    </row>
    <row r="170" spans="1:8" hidden="1" x14ac:dyDescent="0.3">
      <c r="A170" t="s">
        <v>72</v>
      </c>
      <c r="B170" t="s">
        <v>79</v>
      </c>
      <c r="C170" t="s">
        <v>80</v>
      </c>
      <c r="D170" s="19">
        <v>46156</v>
      </c>
      <c r="E170" t="s">
        <v>76</v>
      </c>
      <c r="F170">
        <f>+_xlfn.ISOWEEKNUM(export?format_csv_gid_612082435[[#This Row],[Fecha]])</f>
        <v>20</v>
      </c>
      <c r="G170">
        <f>+YEAR(export?format_csv_gid_612082435[[#This Row],[Fecha]])</f>
        <v>2026</v>
      </c>
      <c r="H170" t="str">
        <f>+VLOOKUP(export?format_csv_gid_612082435[[#This Row],[Valor]],Listas!A:B,2,FALSE)</f>
        <v>Asistencia</v>
      </c>
    </row>
    <row r="171" spans="1:8" hidden="1" x14ac:dyDescent="0.3">
      <c r="A171" t="s">
        <v>72</v>
      </c>
      <c r="B171" t="s">
        <v>79</v>
      </c>
      <c r="C171" t="s">
        <v>80</v>
      </c>
      <c r="D171" s="19">
        <v>46157</v>
      </c>
      <c r="E171" t="s">
        <v>76</v>
      </c>
      <c r="F171">
        <f>+_xlfn.ISOWEEKNUM(export?format_csv_gid_612082435[[#This Row],[Fecha]])</f>
        <v>20</v>
      </c>
      <c r="G171">
        <f>+YEAR(export?format_csv_gid_612082435[[#This Row],[Fecha]])</f>
        <v>2026</v>
      </c>
      <c r="H171" t="str">
        <f>+VLOOKUP(export?format_csv_gid_612082435[[#This Row],[Valor]],Listas!A:B,2,FALSE)</f>
        <v>Asistencia</v>
      </c>
    </row>
    <row r="172" spans="1:8" hidden="1" x14ac:dyDescent="0.3">
      <c r="A172" t="s">
        <v>72</v>
      </c>
      <c r="B172" t="s">
        <v>79</v>
      </c>
      <c r="C172" t="s">
        <v>80</v>
      </c>
      <c r="D172" s="19">
        <v>46158</v>
      </c>
      <c r="E172" t="s">
        <v>77</v>
      </c>
      <c r="F172">
        <f>+_xlfn.ISOWEEKNUM(export?format_csv_gid_612082435[[#This Row],[Fecha]])</f>
        <v>20</v>
      </c>
      <c r="G172">
        <f>+YEAR(export?format_csv_gid_612082435[[#This Row],[Fecha]])</f>
        <v>2026</v>
      </c>
      <c r="H172" t="e">
        <f>+VLOOKUP(export?format_csv_gid_612082435[[#This Row],[Valor]],Listas!A:B,2,FALSE)</f>
        <v>#N/A</v>
      </c>
    </row>
    <row r="173" spans="1:8" hidden="1" x14ac:dyDescent="0.3">
      <c r="A173" t="s">
        <v>72</v>
      </c>
      <c r="B173" t="s">
        <v>79</v>
      </c>
      <c r="C173" t="s">
        <v>80</v>
      </c>
      <c r="D173" s="19">
        <v>46159</v>
      </c>
      <c r="E173" t="s">
        <v>77</v>
      </c>
      <c r="F173">
        <f>+_xlfn.ISOWEEKNUM(export?format_csv_gid_612082435[[#This Row],[Fecha]])</f>
        <v>20</v>
      </c>
      <c r="G173">
        <f>+YEAR(export?format_csv_gid_612082435[[#This Row],[Fecha]])</f>
        <v>2026</v>
      </c>
      <c r="H173" t="e">
        <f>+VLOOKUP(export?format_csv_gid_612082435[[#This Row],[Valor]],Listas!A:B,2,FALSE)</f>
        <v>#N/A</v>
      </c>
    </row>
    <row r="174" spans="1:8" hidden="1" x14ac:dyDescent="0.3">
      <c r="A174" t="s">
        <v>72</v>
      </c>
      <c r="B174" t="s">
        <v>79</v>
      </c>
      <c r="C174" t="s">
        <v>80</v>
      </c>
      <c r="D174" s="19">
        <v>46160</v>
      </c>
      <c r="E174" t="s">
        <v>77</v>
      </c>
      <c r="F174">
        <f>+_xlfn.ISOWEEKNUM(export?format_csv_gid_612082435[[#This Row],[Fecha]])</f>
        <v>21</v>
      </c>
      <c r="G174">
        <f>+YEAR(export?format_csv_gid_612082435[[#This Row],[Fecha]])</f>
        <v>2026</v>
      </c>
      <c r="H174" t="e">
        <f>+VLOOKUP(export?format_csv_gid_612082435[[#This Row],[Valor]],Listas!A:B,2,FALSE)</f>
        <v>#N/A</v>
      </c>
    </row>
    <row r="175" spans="1:8" hidden="1" x14ac:dyDescent="0.3">
      <c r="A175" t="s">
        <v>72</v>
      </c>
      <c r="B175" t="s">
        <v>79</v>
      </c>
      <c r="C175" t="s">
        <v>80</v>
      </c>
      <c r="D175" s="19">
        <v>46161</v>
      </c>
      <c r="E175" t="s">
        <v>77</v>
      </c>
      <c r="F175">
        <f>+_xlfn.ISOWEEKNUM(export?format_csv_gid_612082435[[#This Row],[Fecha]])</f>
        <v>21</v>
      </c>
      <c r="G175">
        <f>+YEAR(export?format_csv_gid_612082435[[#This Row],[Fecha]])</f>
        <v>2026</v>
      </c>
      <c r="H175" t="e">
        <f>+VLOOKUP(export?format_csv_gid_612082435[[#This Row],[Valor]],Listas!A:B,2,FALSE)</f>
        <v>#N/A</v>
      </c>
    </row>
    <row r="176" spans="1:8" hidden="1" x14ac:dyDescent="0.3">
      <c r="A176" t="s">
        <v>72</v>
      </c>
      <c r="B176" t="s">
        <v>79</v>
      </c>
      <c r="C176" t="s">
        <v>80</v>
      </c>
      <c r="D176" s="19">
        <v>46162</v>
      </c>
      <c r="E176" t="s">
        <v>77</v>
      </c>
      <c r="F176">
        <f>+_xlfn.ISOWEEKNUM(export?format_csv_gid_612082435[[#This Row],[Fecha]])</f>
        <v>21</v>
      </c>
      <c r="G176">
        <f>+YEAR(export?format_csv_gid_612082435[[#This Row],[Fecha]])</f>
        <v>2026</v>
      </c>
      <c r="H176" t="e">
        <f>+VLOOKUP(export?format_csv_gid_612082435[[#This Row],[Valor]],Listas!A:B,2,FALSE)</f>
        <v>#N/A</v>
      </c>
    </row>
    <row r="177" spans="1:8" hidden="1" x14ac:dyDescent="0.3">
      <c r="A177" t="s">
        <v>72</v>
      </c>
      <c r="B177" t="s">
        <v>79</v>
      </c>
      <c r="C177" t="s">
        <v>80</v>
      </c>
      <c r="D177" s="19">
        <v>46163</v>
      </c>
      <c r="E177" t="s">
        <v>77</v>
      </c>
      <c r="F177">
        <f>+_xlfn.ISOWEEKNUM(export?format_csv_gid_612082435[[#This Row],[Fecha]])</f>
        <v>21</v>
      </c>
      <c r="G177">
        <f>+YEAR(export?format_csv_gid_612082435[[#This Row],[Fecha]])</f>
        <v>2026</v>
      </c>
      <c r="H177" t="e">
        <f>+VLOOKUP(export?format_csv_gid_612082435[[#This Row],[Valor]],Listas!A:B,2,FALSE)</f>
        <v>#N/A</v>
      </c>
    </row>
    <row r="178" spans="1:8" hidden="1" x14ac:dyDescent="0.3">
      <c r="A178" t="s">
        <v>72</v>
      </c>
      <c r="B178" t="s">
        <v>79</v>
      </c>
      <c r="C178" t="s">
        <v>80</v>
      </c>
      <c r="D178" s="19">
        <v>46164</v>
      </c>
      <c r="E178" t="s">
        <v>77</v>
      </c>
      <c r="F178">
        <f>+_xlfn.ISOWEEKNUM(export?format_csv_gid_612082435[[#This Row],[Fecha]])</f>
        <v>21</v>
      </c>
      <c r="G178">
        <f>+YEAR(export?format_csv_gid_612082435[[#This Row],[Fecha]])</f>
        <v>2026</v>
      </c>
      <c r="H178" t="e">
        <f>+VLOOKUP(export?format_csv_gid_612082435[[#This Row],[Valor]],Listas!A:B,2,FALSE)</f>
        <v>#N/A</v>
      </c>
    </row>
    <row r="179" spans="1:8" hidden="1" x14ac:dyDescent="0.3">
      <c r="A179" t="s">
        <v>72</v>
      </c>
      <c r="B179" t="s">
        <v>79</v>
      </c>
      <c r="C179" t="s">
        <v>80</v>
      </c>
      <c r="D179" s="19">
        <v>46165</v>
      </c>
      <c r="E179" t="s">
        <v>77</v>
      </c>
      <c r="F179">
        <f>+_xlfn.ISOWEEKNUM(export?format_csv_gid_612082435[[#This Row],[Fecha]])</f>
        <v>21</v>
      </c>
      <c r="G179">
        <f>+YEAR(export?format_csv_gid_612082435[[#This Row],[Fecha]])</f>
        <v>2026</v>
      </c>
      <c r="H179" t="e">
        <f>+VLOOKUP(export?format_csv_gid_612082435[[#This Row],[Valor]],Listas!A:B,2,FALSE)</f>
        <v>#N/A</v>
      </c>
    </row>
    <row r="180" spans="1:8" hidden="1" x14ac:dyDescent="0.3">
      <c r="A180" t="s">
        <v>72</v>
      </c>
      <c r="B180" t="s">
        <v>79</v>
      </c>
      <c r="C180" t="s">
        <v>80</v>
      </c>
      <c r="D180" s="19">
        <v>46166</v>
      </c>
      <c r="E180" t="s">
        <v>77</v>
      </c>
      <c r="F180">
        <f>+_xlfn.ISOWEEKNUM(export?format_csv_gid_612082435[[#This Row],[Fecha]])</f>
        <v>21</v>
      </c>
      <c r="G180">
        <f>+YEAR(export?format_csv_gid_612082435[[#This Row],[Fecha]])</f>
        <v>2026</v>
      </c>
      <c r="H180" t="e">
        <f>+VLOOKUP(export?format_csv_gid_612082435[[#This Row],[Valor]],Listas!A:B,2,FALSE)</f>
        <v>#N/A</v>
      </c>
    </row>
    <row r="181" spans="1:8" hidden="1" x14ac:dyDescent="0.3">
      <c r="A181" t="s">
        <v>72</v>
      </c>
      <c r="B181" t="s">
        <v>79</v>
      </c>
      <c r="C181" t="s">
        <v>80</v>
      </c>
      <c r="D181" s="19">
        <v>46167</v>
      </c>
      <c r="E181" t="s">
        <v>77</v>
      </c>
      <c r="F181">
        <f>+_xlfn.ISOWEEKNUM(export?format_csv_gid_612082435[[#This Row],[Fecha]])</f>
        <v>22</v>
      </c>
      <c r="G181">
        <f>+YEAR(export?format_csv_gid_612082435[[#This Row],[Fecha]])</f>
        <v>2026</v>
      </c>
      <c r="H181" t="e">
        <f>+VLOOKUP(export?format_csv_gid_612082435[[#This Row],[Valor]],Listas!A:B,2,FALSE)</f>
        <v>#N/A</v>
      </c>
    </row>
    <row r="182" spans="1:8" hidden="1" x14ac:dyDescent="0.3">
      <c r="A182" t="s">
        <v>72</v>
      </c>
      <c r="B182" t="s">
        <v>79</v>
      </c>
      <c r="C182" t="s">
        <v>80</v>
      </c>
      <c r="D182" s="19">
        <v>46168</v>
      </c>
      <c r="E182" t="s">
        <v>77</v>
      </c>
      <c r="F182">
        <f>+_xlfn.ISOWEEKNUM(export?format_csv_gid_612082435[[#This Row],[Fecha]])</f>
        <v>22</v>
      </c>
      <c r="G182">
        <f>+YEAR(export?format_csv_gid_612082435[[#This Row],[Fecha]])</f>
        <v>2026</v>
      </c>
      <c r="H182" t="e">
        <f>+VLOOKUP(export?format_csv_gid_612082435[[#This Row],[Valor]],Listas!A:B,2,FALSE)</f>
        <v>#N/A</v>
      </c>
    </row>
    <row r="183" spans="1:8" hidden="1" x14ac:dyDescent="0.3">
      <c r="A183" t="s">
        <v>72</v>
      </c>
      <c r="B183" t="s">
        <v>79</v>
      </c>
      <c r="C183" t="s">
        <v>80</v>
      </c>
      <c r="D183" s="19">
        <v>46169</v>
      </c>
      <c r="E183" t="s">
        <v>77</v>
      </c>
      <c r="F183">
        <f>+_xlfn.ISOWEEKNUM(export?format_csv_gid_612082435[[#This Row],[Fecha]])</f>
        <v>22</v>
      </c>
      <c r="G183">
        <f>+YEAR(export?format_csv_gid_612082435[[#This Row],[Fecha]])</f>
        <v>2026</v>
      </c>
      <c r="H183" t="e">
        <f>+VLOOKUP(export?format_csv_gid_612082435[[#This Row],[Valor]],Listas!A:B,2,FALSE)</f>
        <v>#N/A</v>
      </c>
    </row>
    <row r="184" spans="1:8" hidden="1" x14ac:dyDescent="0.3">
      <c r="A184" t="s">
        <v>72</v>
      </c>
      <c r="B184" t="s">
        <v>79</v>
      </c>
      <c r="C184" t="s">
        <v>80</v>
      </c>
      <c r="D184" s="19">
        <v>46170</v>
      </c>
      <c r="E184" t="s">
        <v>77</v>
      </c>
      <c r="F184">
        <f>+_xlfn.ISOWEEKNUM(export?format_csv_gid_612082435[[#This Row],[Fecha]])</f>
        <v>22</v>
      </c>
      <c r="G184">
        <f>+YEAR(export?format_csv_gid_612082435[[#This Row],[Fecha]])</f>
        <v>2026</v>
      </c>
      <c r="H184" t="e">
        <f>+VLOOKUP(export?format_csv_gid_612082435[[#This Row],[Valor]],Listas!A:B,2,FALSE)</f>
        <v>#N/A</v>
      </c>
    </row>
    <row r="185" spans="1:8" hidden="1" x14ac:dyDescent="0.3">
      <c r="A185" t="s">
        <v>72</v>
      </c>
      <c r="B185" t="s">
        <v>79</v>
      </c>
      <c r="C185" t="s">
        <v>80</v>
      </c>
      <c r="D185" s="19">
        <v>46171</v>
      </c>
      <c r="E185" t="s">
        <v>77</v>
      </c>
      <c r="F185">
        <f>+_xlfn.ISOWEEKNUM(export?format_csv_gid_612082435[[#This Row],[Fecha]])</f>
        <v>22</v>
      </c>
      <c r="G185">
        <f>+YEAR(export?format_csv_gid_612082435[[#This Row],[Fecha]])</f>
        <v>2026</v>
      </c>
      <c r="H185" t="e">
        <f>+VLOOKUP(export?format_csv_gid_612082435[[#This Row],[Valor]],Listas!A:B,2,FALSE)</f>
        <v>#N/A</v>
      </c>
    </row>
    <row r="186" spans="1:8" hidden="1" x14ac:dyDescent="0.3">
      <c r="A186" t="s">
        <v>72</v>
      </c>
      <c r="B186" t="s">
        <v>79</v>
      </c>
      <c r="C186" t="s">
        <v>80</v>
      </c>
      <c r="D186" s="19">
        <v>46172</v>
      </c>
      <c r="E186" t="s">
        <v>77</v>
      </c>
      <c r="F186">
        <f>+_xlfn.ISOWEEKNUM(export?format_csv_gid_612082435[[#This Row],[Fecha]])</f>
        <v>22</v>
      </c>
      <c r="G186">
        <f>+YEAR(export?format_csv_gid_612082435[[#This Row],[Fecha]])</f>
        <v>2026</v>
      </c>
      <c r="H186" t="e">
        <f>+VLOOKUP(export?format_csv_gid_612082435[[#This Row],[Valor]],Listas!A:B,2,FALSE)</f>
        <v>#N/A</v>
      </c>
    </row>
    <row r="187" spans="1:8" hidden="1" x14ac:dyDescent="0.3">
      <c r="A187" t="s">
        <v>72</v>
      </c>
      <c r="B187" t="s">
        <v>79</v>
      </c>
      <c r="C187" t="s">
        <v>80</v>
      </c>
      <c r="D187" s="19">
        <v>46173</v>
      </c>
      <c r="E187" t="s">
        <v>77</v>
      </c>
      <c r="F187">
        <f>+_xlfn.ISOWEEKNUM(export?format_csv_gid_612082435[[#This Row],[Fecha]])</f>
        <v>22</v>
      </c>
      <c r="G187">
        <f>+YEAR(export?format_csv_gid_612082435[[#This Row],[Fecha]])</f>
        <v>2026</v>
      </c>
      <c r="H187" t="e">
        <f>+VLOOKUP(export?format_csv_gid_612082435[[#This Row],[Valor]],Listas!A:B,2,FALSE)</f>
        <v>#N/A</v>
      </c>
    </row>
    <row r="188" spans="1:8" hidden="1" x14ac:dyDescent="0.3">
      <c r="A188" t="s">
        <v>72</v>
      </c>
      <c r="B188" t="s">
        <v>79</v>
      </c>
      <c r="C188" t="s">
        <v>81</v>
      </c>
      <c r="D188" s="19">
        <v>46143</v>
      </c>
      <c r="E188" t="s">
        <v>76</v>
      </c>
      <c r="F188">
        <f>+_xlfn.ISOWEEKNUM(export?format_csv_gid_612082435[[#This Row],[Fecha]])</f>
        <v>18</v>
      </c>
      <c r="G188">
        <f>+YEAR(export?format_csv_gid_612082435[[#This Row],[Fecha]])</f>
        <v>2026</v>
      </c>
      <c r="H188" t="str">
        <f>+VLOOKUP(export?format_csv_gid_612082435[[#This Row],[Valor]],Listas!A:B,2,FALSE)</f>
        <v>Asistencia</v>
      </c>
    </row>
    <row r="189" spans="1:8" hidden="1" x14ac:dyDescent="0.3">
      <c r="A189" t="s">
        <v>72</v>
      </c>
      <c r="B189" t="s">
        <v>79</v>
      </c>
      <c r="C189" t="s">
        <v>81</v>
      </c>
      <c r="D189" s="19">
        <v>46144</v>
      </c>
      <c r="E189" t="s">
        <v>76</v>
      </c>
      <c r="F189">
        <f>+_xlfn.ISOWEEKNUM(export?format_csv_gid_612082435[[#This Row],[Fecha]])</f>
        <v>18</v>
      </c>
      <c r="G189">
        <f>+YEAR(export?format_csv_gid_612082435[[#This Row],[Fecha]])</f>
        <v>2026</v>
      </c>
      <c r="H189" t="str">
        <f>+VLOOKUP(export?format_csv_gid_612082435[[#This Row],[Valor]],Listas!A:B,2,FALSE)</f>
        <v>Asistencia</v>
      </c>
    </row>
    <row r="190" spans="1:8" hidden="1" x14ac:dyDescent="0.3">
      <c r="A190" t="s">
        <v>72</v>
      </c>
      <c r="B190" t="s">
        <v>79</v>
      </c>
      <c r="C190" t="s">
        <v>81</v>
      </c>
      <c r="D190" s="19">
        <v>46145</v>
      </c>
      <c r="E190" t="s">
        <v>76</v>
      </c>
      <c r="F190">
        <f>+_xlfn.ISOWEEKNUM(export?format_csv_gid_612082435[[#This Row],[Fecha]])</f>
        <v>18</v>
      </c>
      <c r="G190">
        <f>+YEAR(export?format_csv_gid_612082435[[#This Row],[Fecha]])</f>
        <v>2026</v>
      </c>
      <c r="H190" t="str">
        <f>+VLOOKUP(export?format_csv_gid_612082435[[#This Row],[Valor]],Listas!A:B,2,FALSE)</f>
        <v>Asistencia</v>
      </c>
    </row>
    <row r="191" spans="1:8" hidden="1" x14ac:dyDescent="0.3">
      <c r="A191" t="s">
        <v>72</v>
      </c>
      <c r="B191" t="s">
        <v>79</v>
      </c>
      <c r="C191" t="s">
        <v>81</v>
      </c>
      <c r="D191" s="19">
        <v>46146</v>
      </c>
      <c r="E191" t="s">
        <v>76</v>
      </c>
      <c r="F191">
        <f>+_xlfn.ISOWEEKNUM(export?format_csv_gid_612082435[[#This Row],[Fecha]])</f>
        <v>19</v>
      </c>
      <c r="G191">
        <f>+YEAR(export?format_csv_gid_612082435[[#This Row],[Fecha]])</f>
        <v>2026</v>
      </c>
      <c r="H191" t="str">
        <f>+VLOOKUP(export?format_csv_gid_612082435[[#This Row],[Valor]],Listas!A:B,2,FALSE)</f>
        <v>Asistencia</v>
      </c>
    </row>
    <row r="192" spans="1:8" hidden="1" x14ac:dyDescent="0.3">
      <c r="A192" t="s">
        <v>72</v>
      </c>
      <c r="B192" t="s">
        <v>79</v>
      </c>
      <c r="C192" t="s">
        <v>81</v>
      </c>
      <c r="D192" s="19">
        <v>46147</v>
      </c>
      <c r="E192" t="s">
        <v>76</v>
      </c>
      <c r="F192">
        <f>+_xlfn.ISOWEEKNUM(export?format_csv_gid_612082435[[#This Row],[Fecha]])</f>
        <v>19</v>
      </c>
      <c r="G192">
        <f>+YEAR(export?format_csv_gid_612082435[[#This Row],[Fecha]])</f>
        <v>2026</v>
      </c>
      <c r="H192" t="str">
        <f>+VLOOKUP(export?format_csv_gid_612082435[[#This Row],[Valor]],Listas!A:B,2,FALSE)</f>
        <v>Asistencia</v>
      </c>
    </row>
    <row r="193" spans="1:8" hidden="1" x14ac:dyDescent="0.3">
      <c r="A193" t="s">
        <v>72</v>
      </c>
      <c r="B193" t="s">
        <v>79</v>
      </c>
      <c r="C193" t="s">
        <v>81</v>
      </c>
      <c r="D193" s="19">
        <v>46148</v>
      </c>
      <c r="E193" t="s">
        <v>76</v>
      </c>
      <c r="F193">
        <f>+_xlfn.ISOWEEKNUM(export?format_csv_gid_612082435[[#This Row],[Fecha]])</f>
        <v>19</v>
      </c>
      <c r="G193">
        <f>+YEAR(export?format_csv_gid_612082435[[#This Row],[Fecha]])</f>
        <v>2026</v>
      </c>
      <c r="H193" t="str">
        <f>+VLOOKUP(export?format_csv_gid_612082435[[#This Row],[Valor]],Listas!A:B,2,FALSE)</f>
        <v>Asistencia</v>
      </c>
    </row>
    <row r="194" spans="1:8" hidden="1" x14ac:dyDescent="0.3">
      <c r="A194" t="s">
        <v>72</v>
      </c>
      <c r="B194" t="s">
        <v>79</v>
      </c>
      <c r="C194" t="s">
        <v>81</v>
      </c>
      <c r="D194" s="19">
        <v>46149</v>
      </c>
      <c r="E194" t="s">
        <v>76</v>
      </c>
      <c r="F194">
        <f>+_xlfn.ISOWEEKNUM(export?format_csv_gid_612082435[[#This Row],[Fecha]])</f>
        <v>19</v>
      </c>
      <c r="G194">
        <f>+YEAR(export?format_csv_gid_612082435[[#This Row],[Fecha]])</f>
        <v>2026</v>
      </c>
      <c r="H194" t="str">
        <f>+VLOOKUP(export?format_csv_gid_612082435[[#This Row],[Valor]],Listas!A:B,2,FALSE)</f>
        <v>Asistencia</v>
      </c>
    </row>
    <row r="195" spans="1:8" hidden="1" x14ac:dyDescent="0.3">
      <c r="A195" t="s">
        <v>72</v>
      </c>
      <c r="B195" t="s">
        <v>79</v>
      </c>
      <c r="C195" t="s">
        <v>81</v>
      </c>
      <c r="D195" s="19">
        <v>46150</v>
      </c>
      <c r="E195" t="s">
        <v>76</v>
      </c>
      <c r="F195">
        <f>+_xlfn.ISOWEEKNUM(export?format_csv_gid_612082435[[#This Row],[Fecha]])</f>
        <v>19</v>
      </c>
      <c r="G195">
        <f>+YEAR(export?format_csv_gid_612082435[[#This Row],[Fecha]])</f>
        <v>2026</v>
      </c>
      <c r="H195" t="str">
        <f>+VLOOKUP(export?format_csv_gid_612082435[[#This Row],[Valor]],Listas!A:B,2,FALSE)</f>
        <v>Asistencia</v>
      </c>
    </row>
    <row r="196" spans="1:8" hidden="1" x14ac:dyDescent="0.3">
      <c r="A196" t="s">
        <v>72</v>
      </c>
      <c r="B196" t="s">
        <v>79</v>
      </c>
      <c r="C196" t="s">
        <v>81</v>
      </c>
      <c r="D196" s="19">
        <v>46151</v>
      </c>
      <c r="E196" t="s">
        <v>76</v>
      </c>
      <c r="F196">
        <f>+_xlfn.ISOWEEKNUM(export?format_csv_gid_612082435[[#This Row],[Fecha]])</f>
        <v>19</v>
      </c>
      <c r="G196">
        <f>+YEAR(export?format_csv_gid_612082435[[#This Row],[Fecha]])</f>
        <v>2026</v>
      </c>
      <c r="H196" t="str">
        <f>+VLOOKUP(export?format_csv_gid_612082435[[#This Row],[Valor]],Listas!A:B,2,FALSE)</f>
        <v>Asistencia</v>
      </c>
    </row>
    <row r="197" spans="1:8" hidden="1" x14ac:dyDescent="0.3">
      <c r="A197" t="s">
        <v>72</v>
      </c>
      <c r="B197" t="s">
        <v>79</v>
      </c>
      <c r="C197" t="s">
        <v>81</v>
      </c>
      <c r="D197" s="19">
        <v>46152</v>
      </c>
      <c r="E197" t="s">
        <v>113</v>
      </c>
      <c r="F197">
        <f>+_xlfn.ISOWEEKNUM(export?format_csv_gid_612082435[[#This Row],[Fecha]])</f>
        <v>19</v>
      </c>
      <c r="G197">
        <f>+YEAR(export?format_csv_gid_612082435[[#This Row],[Fecha]])</f>
        <v>2026</v>
      </c>
      <c r="H197" t="str">
        <f>+VLOOKUP(export?format_csv_gid_612082435[[#This Row],[Valor]],Listas!A:B,2,FALSE)</f>
        <v>D. Remunerado</v>
      </c>
    </row>
    <row r="198" spans="1:8" hidden="1" x14ac:dyDescent="0.3">
      <c r="A198" t="s">
        <v>72</v>
      </c>
      <c r="B198" t="s">
        <v>79</v>
      </c>
      <c r="C198" t="s">
        <v>81</v>
      </c>
      <c r="D198" s="19">
        <v>46153</v>
      </c>
      <c r="E198" t="s">
        <v>76</v>
      </c>
      <c r="F198">
        <f>+_xlfn.ISOWEEKNUM(export?format_csv_gid_612082435[[#This Row],[Fecha]])</f>
        <v>20</v>
      </c>
      <c r="G198">
        <f>+YEAR(export?format_csv_gid_612082435[[#This Row],[Fecha]])</f>
        <v>2026</v>
      </c>
      <c r="H198" t="str">
        <f>+VLOOKUP(export?format_csv_gid_612082435[[#This Row],[Valor]],Listas!A:B,2,FALSE)</f>
        <v>Asistencia</v>
      </c>
    </row>
    <row r="199" spans="1:8" hidden="1" x14ac:dyDescent="0.3">
      <c r="A199" t="s">
        <v>72</v>
      </c>
      <c r="B199" t="s">
        <v>79</v>
      </c>
      <c r="C199" t="s">
        <v>81</v>
      </c>
      <c r="D199" s="19">
        <v>46154</v>
      </c>
      <c r="E199" t="s">
        <v>76</v>
      </c>
      <c r="F199">
        <f>+_xlfn.ISOWEEKNUM(export?format_csv_gid_612082435[[#This Row],[Fecha]])</f>
        <v>20</v>
      </c>
      <c r="G199">
        <f>+YEAR(export?format_csv_gid_612082435[[#This Row],[Fecha]])</f>
        <v>2026</v>
      </c>
      <c r="H199" t="str">
        <f>+VLOOKUP(export?format_csv_gid_612082435[[#This Row],[Valor]],Listas!A:B,2,FALSE)</f>
        <v>Asistencia</v>
      </c>
    </row>
    <row r="200" spans="1:8" hidden="1" x14ac:dyDescent="0.3">
      <c r="A200" t="s">
        <v>72</v>
      </c>
      <c r="B200" t="s">
        <v>79</v>
      </c>
      <c r="C200" t="s">
        <v>81</v>
      </c>
      <c r="D200" s="19">
        <v>46155</v>
      </c>
      <c r="E200" t="s">
        <v>76</v>
      </c>
      <c r="F200">
        <f>+_xlfn.ISOWEEKNUM(export?format_csv_gid_612082435[[#This Row],[Fecha]])</f>
        <v>20</v>
      </c>
      <c r="G200">
        <f>+YEAR(export?format_csv_gid_612082435[[#This Row],[Fecha]])</f>
        <v>2026</v>
      </c>
      <c r="H200" t="str">
        <f>+VLOOKUP(export?format_csv_gid_612082435[[#This Row],[Valor]],Listas!A:B,2,FALSE)</f>
        <v>Asistencia</v>
      </c>
    </row>
    <row r="201" spans="1:8" hidden="1" x14ac:dyDescent="0.3">
      <c r="A201" t="s">
        <v>72</v>
      </c>
      <c r="B201" t="s">
        <v>79</v>
      </c>
      <c r="C201" t="s">
        <v>81</v>
      </c>
      <c r="D201" s="19">
        <v>46156</v>
      </c>
      <c r="E201" t="s">
        <v>76</v>
      </c>
      <c r="F201">
        <f>+_xlfn.ISOWEEKNUM(export?format_csv_gid_612082435[[#This Row],[Fecha]])</f>
        <v>20</v>
      </c>
      <c r="G201">
        <f>+YEAR(export?format_csv_gid_612082435[[#This Row],[Fecha]])</f>
        <v>2026</v>
      </c>
      <c r="H201" t="str">
        <f>+VLOOKUP(export?format_csv_gid_612082435[[#This Row],[Valor]],Listas!A:B,2,FALSE)</f>
        <v>Asistencia</v>
      </c>
    </row>
    <row r="202" spans="1:8" hidden="1" x14ac:dyDescent="0.3">
      <c r="A202" t="s">
        <v>72</v>
      </c>
      <c r="B202" t="s">
        <v>79</v>
      </c>
      <c r="C202" t="s">
        <v>81</v>
      </c>
      <c r="D202" s="19">
        <v>46157</v>
      </c>
      <c r="E202" t="s">
        <v>76</v>
      </c>
      <c r="F202">
        <f>+_xlfn.ISOWEEKNUM(export?format_csv_gid_612082435[[#This Row],[Fecha]])</f>
        <v>20</v>
      </c>
      <c r="G202">
        <f>+YEAR(export?format_csv_gid_612082435[[#This Row],[Fecha]])</f>
        <v>2026</v>
      </c>
      <c r="H202" t="str">
        <f>+VLOOKUP(export?format_csv_gid_612082435[[#This Row],[Valor]],Listas!A:B,2,FALSE)</f>
        <v>Asistencia</v>
      </c>
    </row>
    <row r="203" spans="1:8" hidden="1" x14ac:dyDescent="0.3">
      <c r="A203" t="s">
        <v>72</v>
      </c>
      <c r="B203" t="s">
        <v>79</v>
      </c>
      <c r="C203" t="s">
        <v>81</v>
      </c>
      <c r="D203" s="19">
        <v>46158</v>
      </c>
      <c r="E203" t="s">
        <v>77</v>
      </c>
      <c r="F203">
        <f>+_xlfn.ISOWEEKNUM(export?format_csv_gid_612082435[[#This Row],[Fecha]])</f>
        <v>20</v>
      </c>
      <c r="G203">
        <f>+YEAR(export?format_csv_gid_612082435[[#This Row],[Fecha]])</f>
        <v>2026</v>
      </c>
      <c r="H203" t="e">
        <f>+VLOOKUP(export?format_csv_gid_612082435[[#This Row],[Valor]],Listas!A:B,2,FALSE)</f>
        <v>#N/A</v>
      </c>
    </row>
    <row r="204" spans="1:8" hidden="1" x14ac:dyDescent="0.3">
      <c r="A204" t="s">
        <v>72</v>
      </c>
      <c r="B204" t="s">
        <v>79</v>
      </c>
      <c r="C204" t="s">
        <v>81</v>
      </c>
      <c r="D204" s="19">
        <v>46159</v>
      </c>
      <c r="E204" t="s">
        <v>77</v>
      </c>
      <c r="F204">
        <f>+_xlfn.ISOWEEKNUM(export?format_csv_gid_612082435[[#This Row],[Fecha]])</f>
        <v>20</v>
      </c>
      <c r="G204">
        <f>+YEAR(export?format_csv_gid_612082435[[#This Row],[Fecha]])</f>
        <v>2026</v>
      </c>
      <c r="H204" t="e">
        <f>+VLOOKUP(export?format_csv_gid_612082435[[#This Row],[Valor]],Listas!A:B,2,FALSE)</f>
        <v>#N/A</v>
      </c>
    </row>
    <row r="205" spans="1:8" hidden="1" x14ac:dyDescent="0.3">
      <c r="A205" t="s">
        <v>72</v>
      </c>
      <c r="B205" t="s">
        <v>79</v>
      </c>
      <c r="C205" t="s">
        <v>81</v>
      </c>
      <c r="D205" s="19">
        <v>46160</v>
      </c>
      <c r="E205" t="s">
        <v>77</v>
      </c>
      <c r="F205">
        <f>+_xlfn.ISOWEEKNUM(export?format_csv_gid_612082435[[#This Row],[Fecha]])</f>
        <v>21</v>
      </c>
      <c r="G205">
        <f>+YEAR(export?format_csv_gid_612082435[[#This Row],[Fecha]])</f>
        <v>2026</v>
      </c>
      <c r="H205" t="e">
        <f>+VLOOKUP(export?format_csv_gid_612082435[[#This Row],[Valor]],Listas!A:B,2,FALSE)</f>
        <v>#N/A</v>
      </c>
    </row>
    <row r="206" spans="1:8" hidden="1" x14ac:dyDescent="0.3">
      <c r="A206" t="s">
        <v>72</v>
      </c>
      <c r="B206" t="s">
        <v>79</v>
      </c>
      <c r="C206" t="s">
        <v>81</v>
      </c>
      <c r="D206" s="19">
        <v>46161</v>
      </c>
      <c r="E206" t="s">
        <v>77</v>
      </c>
      <c r="F206">
        <f>+_xlfn.ISOWEEKNUM(export?format_csv_gid_612082435[[#This Row],[Fecha]])</f>
        <v>21</v>
      </c>
      <c r="G206">
        <f>+YEAR(export?format_csv_gid_612082435[[#This Row],[Fecha]])</f>
        <v>2026</v>
      </c>
      <c r="H206" t="e">
        <f>+VLOOKUP(export?format_csv_gid_612082435[[#This Row],[Valor]],Listas!A:B,2,FALSE)</f>
        <v>#N/A</v>
      </c>
    </row>
    <row r="207" spans="1:8" hidden="1" x14ac:dyDescent="0.3">
      <c r="A207" t="s">
        <v>72</v>
      </c>
      <c r="B207" t="s">
        <v>79</v>
      </c>
      <c r="C207" t="s">
        <v>81</v>
      </c>
      <c r="D207" s="19">
        <v>46162</v>
      </c>
      <c r="E207" t="s">
        <v>77</v>
      </c>
      <c r="F207">
        <f>+_xlfn.ISOWEEKNUM(export?format_csv_gid_612082435[[#This Row],[Fecha]])</f>
        <v>21</v>
      </c>
      <c r="G207">
        <f>+YEAR(export?format_csv_gid_612082435[[#This Row],[Fecha]])</f>
        <v>2026</v>
      </c>
      <c r="H207" t="e">
        <f>+VLOOKUP(export?format_csv_gid_612082435[[#This Row],[Valor]],Listas!A:B,2,FALSE)</f>
        <v>#N/A</v>
      </c>
    </row>
    <row r="208" spans="1:8" hidden="1" x14ac:dyDescent="0.3">
      <c r="A208" t="s">
        <v>72</v>
      </c>
      <c r="B208" t="s">
        <v>79</v>
      </c>
      <c r="C208" t="s">
        <v>81</v>
      </c>
      <c r="D208" s="19">
        <v>46163</v>
      </c>
      <c r="E208" t="s">
        <v>77</v>
      </c>
      <c r="F208">
        <f>+_xlfn.ISOWEEKNUM(export?format_csv_gid_612082435[[#This Row],[Fecha]])</f>
        <v>21</v>
      </c>
      <c r="G208">
        <f>+YEAR(export?format_csv_gid_612082435[[#This Row],[Fecha]])</f>
        <v>2026</v>
      </c>
      <c r="H208" t="e">
        <f>+VLOOKUP(export?format_csv_gid_612082435[[#This Row],[Valor]],Listas!A:B,2,FALSE)</f>
        <v>#N/A</v>
      </c>
    </row>
    <row r="209" spans="1:8" hidden="1" x14ac:dyDescent="0.3">
      <c r="A209" t="s">
        <v>72</v>
      </c>
      <c r="B209" t="s">
        <v>79</v>
      </c>
      <c r="C209" t="s">
        <v>81</v>
      </c>
      <c r="D209" s="19">
        <v>46164</v>
      </c>
      <c r="E209" t="s">
        <v>77</v>
      </c>
      <c r="F209">
        <f>+_xlfn.ISOWEEKNUM(export?format_csv_gid_612082435[[#This Row],[Fecha]])</f>
        <v>21</v>
      </c>
      <c r="G209">
        <f>+YEAR(export?format_csv_gid_612082435[[#This Row],[Fecha]])</f>
        <v>2026</v>
      </c>
      <c r="H209" t="e">
        <f>+VLOOKUP(export?format_csv_gid_612082435[[#This Row],[Valor]],Listas!A:B,2,FALSE)</f>
        <v>#N/A</v>
      </c>
    </row>
    <row r="210" spans="1:8" hidden="1" x14ac:dyDescent="0.3">
      <c r="A210" t="s">
        <v>72</v>
      </c>
      <c r="B210" t="s">
        <v>79</v>
      </c>
      <c r="C210" t="s">
        <v>81</v>
      </c>
      <c r="D210" s="19">
        <v>46165</v>
      </c>
      <c r="E210" t="s">
        <v>77</v>
      </c>
      <c r="F210">
        <f>+_xlfn.ISOWEEKNUM(export?format_csv_gid_612082435[[#This Row],[Fecha]])</f>
        <v>21</v>
      </c>
      <c r="G210">
        <f>+YEAR(export?format_csv_gid_612082435[[#This Row],[Fecha]])</f>
        <v>2026</v>
      </c>
      <c r="H210" t="e">
        <f>+VLOOKUP(export?format_csv_gid_612082435[[#This Row],[Valor]],Listas!A:B,2,FALSE)</f>
        <v>#N/A</v>
      </c>
    </row>
    <row r="211" spans="1:8" hidden="1" x14ac:dyDescent="0.3">
      <c r="A211" t="s">
        <v>72</v>
      </c>
      <c r="B211" t="s">
        <v>79</v>
      </c>
      <c r="C211" t="s">
        <v>81</v>
      </c>
      <c r="D211" s="19">
        <v>46166</v>
      </c>
      <c r="E211" t="s">
        <v>77</v>
      </c>
      <c r="F211">
        <f>+_xlfn.ISOWEEKNUM(export?format_csv_gid_612082435[[#This Row],[Fecha]])</f>
        <v>21</v>
      </c>
      <c r="G211">
        <f>+YEAR(export?format_csv_gid_612082435[[#This Row],[Fecha]])</f>
        <v>2026</v>
      </c>
      <c r="H211" t="e">
        <f>+VLOOKUP(export?format_csv_gid_612082435[[#This Row],[Valor]],Listas!A:B,2,FALSE)</f>
        <v>#N/A</v>
      </c>
    </row>
    <row r="212" spans="1:8" hidden="1" x14ac:dyDescent="0.3">
      <c r="A212" t="s">
        <v>72</v>
      </c>
      <c r="B212" t="s">
        <v>79</v>
      </c>
      <c r="C212" t="s">
        <v>81</v>
      </c>
      <c r="D212" s="19">
        <v>46167</v>
      </c>
      <c r="E212" t="s">
        <v>77</v>
      </c>
      <c r="F212">
        <f>+_xlfn.ISOWEEKNUM(export?format_csv_gid_612082435[[#This Row],[Fecha]])</f>
        <v>22</v>
      </c>
      <c r="G212">
        <f>+YEAR(export?format_csv_gid_612082435[[#This Row],[Fecha]])</f>
        <v>2026</v>
      </c>
      <c r="H212" t="e">
        <f>+VLOOKUP(export?format_csv_gid_612082435[[#This Row],[Valor]],Listas!A:B,2,FALSE)</f>
        <v>#N/A</v>
      </c>
    </row>
    <row r="213" spans="1:8" hidden="1" x14ac:dyDescent="0.3">
      <c r="A213" t="s">
        <v>72</v>
      </c>
      <c r="B213" t="s">
        <v>79</v>
      </c>
      <c r="C213" t="s">
        <v>81</v>
      </c>
      <c r="D213" s="19">
        <v>46168</v>
      </c>
      <c r="E213" t="s">
        <v>77</v>
      </c>
      <c r="F213">
        <f>+_xlfn.ISOWEEKNUM(export?format_csv_gid_612082435[[#This Row],[Fecha]])</f>
        <v>22</v>
      </c>
      <c r="G213">
        <f>+YEAR(export?format_csv_gid_612082435[[#This Row],[Fecha]])</f>
        <v>2026</v>
      </c>
      <c r="H213" t="e">
        <f>+VLOOKUP(export?format_csv_gid_612082435[[#This Row],[Valor]],Listas!A:B,2,FALSE)</f>
        <v>#N/A</v>
      </c>
    </row>
    <row r="214" spans="1:8" hidden="1" x14ac:dyDescent="0.3">
      <c r="A214" t="s">
        <v>72</v>
      </c>
      <c r="B214" t="s">
        <v>79</v>
      </c>
      <c r="C214" t="s">
        <v>81</v>
      </c>
      <c r="D214" s="19">
        <v>46169</v>
      </c>
      <c r="E214" t="s">
        <v>77</v>
      </c>
      <c r="F214">
        <f>+_xlfn.ISOWEEKNUM(export?format_csv_gid_612082435[[#This Row],[Fecha]])</f>
        <v>22</v>
      </c>
      <c r="G214">
        <f>+YEAR(export?format_csv_gid_612082435[[#This Row],[Fecha]])</f>
        <v>2026</v>
      </c>
      <c r="H214" t="e">
        <f>+VLOOKUP(export?format_csv_gid_612082435[[#This Row],[Valor]],Listas!A:B,2,FALSE)</f>
        <v>#N/A</v>
      </c>
    </row>
    <row r="215" spans="1:8" hidden="1" x14ac:dyDescent="0.3">
      <c r="A215" t="s">
        <v>72</v>
      </c>
      <c r="B215" t="s">
        <v>79</v>
      </c>
      <c r="C215" t="s">
        <v>81</v>
      </c>
      <c r="D215" s="19">
        <v>46170</v>
      </c>
      <c r="E215" t="s">
        <v>77</v>
      </c>
      <c r="F215">
        <f>+_xlfn.ISOWEEKNUM(export?format_csv_gid_612082435[[#This Row],[Fecha]])</f>
        <v>22</v>
      </c>
      <c r="G215">
        <f>+YEAR(export?format_csv_gid_612082435[[#This Row],[Fecha]])</f>
        <v>2026</v>
      </c>
      <c r="H215" t="e">
        <f>+VLOOKUP(export?format_csv_gid_612082435[[#This Row],[Valor]],Listas!A:B,2,FALSE)</f>
        <v>#N/A</v>
      </c>
    </row>
    <row r="216" spans="1:8" hidden="1" x14ac:dyDescent="0.3">
      <c r="A216" t="s">
        <v>72</v>
      </c>
      <c r="B216" t="s">
        <v>79</v>
      </c>
      <c r="C216" t="s">
        <v>81</v>
      </c>
      <c r="D216" s="19">
        <v>46171</v>
      </c>
      <c r="E216" t="s">
        <v>77</v>
      </c>
      <c r="F216">
        <f>+_xlfn.ISOWEEKNUM(export?format_csv_gid_612082435[[#This Row],[Fecha]])</f>
        <v>22</v>
      </c>
      <c r="G216">
        <f>+YEAR(export?format_csv_gid_612082435[[#This Row],[Fecha]])</f>
        <v>2026</v>
      </c>
      <c r="H216" t="e">
        <f>+VLOOKUP(export?format_csv_gid_612082435[[#This Row],[Valor]],Listas!A:B,2,FALSE)</f>
        <v>#N/A</v>
      </c>
    </row>
    <row r="217" spans="1:8" hidden="1" x14ac:dyDescent="0.3">
      <c r="A217" t="s">
        <v>72</v>
      </c>
      <c r="B217" t="s">
        <v>79</v>
      </c>
      <c r="C217" t="s">
        <v>81</v>
      </c>
      <c r="D217" s="19">
        <v>46172</v>
      </c>
      <c r="E217" t="s">
        <v>77</v>
      </c>
      <c r="F217">
        <f>+_xlfn.ISOWEEKNUM(export?format_csv_gid_612082435[[#This Row],[Fecha]])</f>
        <v>22</v>
      </c>
      <c r="G217">
        <f>+YEAR(export?format_csv_gid_612082435[[#This Row],[Fecha]])</f>
        <v>2026</v>
      </c>
      <c r="H217" t="e">
        <f>+VLOOKUP(export?format_csv_gid_612082435[[#This Row],[Valor]],Listas!A:B,2,FALSE)</f>
        <v>#N/A</v>
      </c>
    </row>
    <row r="218" spans="1:8" hidden="1" x14ac:dyDescent="0.3">
      <c r="A218" t="s">
        <v>72</v>
      </c>
      <c r="B218" t="s">
        <v>79</v>
      </c>
      <c r="C218" t="s">
        <v>81</v>
      </c>
      <c r="D218" s="19">
        <v>46173</v>
      </c>
      <c r="E218" t="s">
        <v>77</v>
      </c>
      <c r="F218">
        <f>+_xlfn.ISOWEEKNUM(export?format_csv_gid_612082435[[#This Row],[Fecha]])</f>
        <v>22</v>
      </c>
      <c r="G218">
        <f>+YEAR(export?format_csv_gid_612082435[[#This Row],[Fecha]])</f>
        <v>2026</v>
      </c>
      <c r="H218" t="e">
        <f>+VLOOKUP(export?format_csv_gid_612082435[[#This Row],[Valor]],Listas!A:B,2,FALSE)</f>
        <v>#N/A</v>
      </c>
    </row>
    <row r="219" spans="1:8" hidden="1" x14ac:dyDescent="0.3">
      <c r="A219" t="s">
        <v>72</v>
      </c>
      <c r="B219" t="s">
        <v>79</v>
      </c>
      <c r="C219" t="s">
        <v>82</v>
      </c>
      <c r="D219" s="19">
        <v>46143</v>
      </c>
      <c r="E219" t="s">
        <v>76</v>
      </c>
      <c r="F219">
        <f>+_xlfn.ISOWEEKNUM(export?format_csv_gid_612082435[[#This Row],[Fecha]])</f>
        <v>18</v>
      </c>
      <c r="G219">
        <f>+YEAR(export?format_csv_gid_612082435[[#This Row],[Fecha]])</f>
        <v>2026</v>
      </c>
      <c r="H219" t="str">
        <f>+VLOOKUP(export?format_csv_gid_612082435[[#This Row],[Valor]],Listas!A:B,2,FALSE)</f>
        <v>Asistencia</v>
      </c>
    </row>
    <row r="220" spans="1:8" hidden="1" x14ac:dyDescent="0.3">
      <c r="A220" t="s">
        <v>72</v>
      </c>
      <c r="B220" t="s">
        <v>79</v>
      </c>
      <c r="C220" t="s">
        <v>82</v>
      </c>
      <c r="D220" s="19">
        <v>46144</v>
      </c>
      <c r="E220" t="s">
        <v>76</v>
      </c>
      <c r="F220">
        <f>+_xlfn.ISOWEEKNUM(export?format_csv_gid_612082435[[#This Row],[Fecha]])</f>
        <v>18</v>
      </c>
      <c r="G220">
        <f>+YEAR(export?format_csv_gid_612082435[[#This Row],[Fecha]])</f>
        <v>2026</v>
      </c>
      <c r="H220" t="str">
        <f>+VLOOKUP(export?format_csv_gid_612082435[[#This Row],[Valor]],Listas!A:B,2,FALSE)</f>
        <v>Asistencia</v>
      </c>
    </row>
    <row r="221" spans="1:8" hidden="1" x14ac:dyDescent="0.3">
      <c r="A221" t="s">
        <v>72</v>
      </c>
      <c r="B221" t="s">
        <v>79</v>
      </c>
      <c r="C221" t="s">
        <v>82</v>
      </c>
      <c r="D221" s="19">
        <v>46145</v>
      </c>
      <c r="E221" t="s">
        <v>76</v>
      </c>
      <c r="F221">
        <f>+_xlfn.ISOWEEKNUM(export?format_csv_gid_612082435[[#This Row],[Fecha]])</f>
        <v>18</v>
      </c>
      <c r="G221">
        <f>+YEAR(export?format_csv_gid_612082435[[#This Row],[Fecha]])</f>
        <v>2026</v>
      </c>
      <c r="H221" t="str">
        <f>+VLOOKUP(export?format_csv_gid_612082435[[#This Row],[Valor]],Listas!A:B,2,FALSE)</f>
        <v>Asistencia</v>
      </c>
    </row>
    <row r="222" spans="1:8" hidden="1" x14ac:dyDescent="0.3">
      <c r="A222" t="s">
        <v>72</v>
      </c>
      <c r="B222" t="s">
        <v>79</v>
      </c>
      <c r="C222" t="s">
        <v>82</v>
      </c>
      <c r="D222" s="19">
        <v>46146</v>
      </c>
      <c r="E222" t="s">
        <v>76</v>
      </c>
      <c r="F222">
        <f>+_xlfn.ISOWEEKNUM(export?format_csv_gid_612082435[[#This Row],[Fecha]])</f>
        <v>19</v>
      </c>
      <c r="G222">
        <f>+YEAR(export?format_csv_gid_612082435[[#This Row],[Fecha]])</f>
        <v>2026</v>
      </c>
      <c r="H222" t="str">
        <f>+VLOOKUP(export?format_csv_gid_612082435[[#This Row],[Valor]],Listas!A:B,2,FALSE)</f>
        <v>Asistencia</v>
      </c>
    </row>
    <row r="223" spans="1:8" hidden="1" x14ac:dyDescent="0.3">
      <c r="A223" t="s">
        <v>72</v>
      </c>
      <c r="B223" t="s">
        <v>79</v>
      </c>
      <c r="C223" t="s">
        <v>82</v>
      </c>
      <c r="D223" s="19">
        <v>46147</v>
      </c>
      <c r="E223" t="s">
        <v>76</v>
      </c>
      <c r="F223">
        <f>+_xlfn.ISOWEEKNUM(export?format_csv_gid_612082435[[#This Row],[Fecha]])</f>
        <v>19</v>
      </c>
      <c r="G223">
        <f>+YEAR(export?format_csv_gid_612082435[[#This Row],[Fecha]])</f>
        <v>2026</v>
      </c>
      <c r="H223" t="str">
        <f>+VLOOKUP(export?format_csv_gid_612082435[[#This Row],[Valor]],Listas!A:B,2,FALSE)</f>
        <v>Asistencia</v>
      </c>
    </row>
    <row r="224" spans="1:8" hidden="1" x14ac:dyDescent="0.3">
      <c r="A224" t="s">
        <v>72</v>
      </c>
      <c r="B224" t="s">
        <v>79</v>
      </c>
      <c r="C224" t="s">
        <v>82</v>
      </c>
      <c r="D224" s="19">
        <v>46148</v>
      </c>
      <c r="E224" t="s">
        <v>76</v>
      </c>
      <c r="F224">
        <f>+_xlfn.ISOWEEKNUM(export?format_csv_gid_612082435[[#This Row],[Fecha]])</f>
        <v>19</v>
      </c>
      <c r="G224">
        <f>+YEAR(export?format_csv_gid_612082435[[#This Row],[Fecha]])</f>
        <v>2026</v>
      </c>
      <c r="H224" t="str">
        <f>+VLOOKUP(export?format_csv_gid_612082435[[#This Row],[Valor]],Listas!A:B,2,FALSE)</f>
        <v>Asistencia</v>
      </c>
    </row>
    <row r="225" spans="1:8" hidden="1" x14ac:dyDescent="0.3">
      <c r="A225" t="s">
        <v>72</v>
      </c>
      <c r="B225" t="s">
        <v>79</v>
      </c>
      <c r="C225" t="s">
        <v>82</v>
      </c>
      <c r="D225" s="19">
        <v>46149</v>
      </c>
      <c r="E225" t="s">
        <v>76</v>
      </c>
      <c r="F225">
        <f>+_xlfn.ISOWEEKNUM(export?format_csv_gid_612082435[[#This Row],[Fecha]])</f>
        <v>19</v>
      </c>
      <c r="G225">
        <f>+YEAR(export?format_csv_gid_612082435[[#This Row],[Fecha]])</f>
        <v>2026</v>
      </c>
      <c r="H225" t="str">
        <f>+VLOOKUP(export?format_csv_gid_612082435[[#This Row],[Valor]],Listas!A:B,2,FALSE)</f>
        <v>Asistencia</v>
      </c>
    </row>
    <row r="226" spans="1:8" hidden="1" x14ac:dyDescent="0.3">
      <c r="A226" t="s">
        <v>72</v>
      </c>
      <c r="B226" t="s">
        <v>79</v>
      </c>
      <c r="C226" t="s">
        <v>82</v>
      </c>
      <c r="D226" s="19">
        <v>46150</v>
      </c>
      <c r="E226" t="s">
        <v>76</v>
      </c>
      <c r="F226">
        <f>+_xlfn.ISOWEEKNUM(export?format_csv_gid_612082435[[#This Row],[Fecha]])</f>
        <v>19</v>
      </c>
      <c r="G226">
        <f>+YEAR(export?format_csv_gid_612082435[[#This Row],[Fecha]])</f>
        <v>2026</v>
      </c>
      <c r="H226" t="str">
        <f>+VLOOKUP(export?format_csv_gid_612082435[[#This Row],[Valor]],Listas!A:B,2,FALSE)</f>
        <v>Asistencia</v>
      </c>
    </row>
    <row r="227" spans="1:8" hidden="1" x14ac:dyDescent="0.3">
      <c r="A227" t="s">
        <v>72</v>
      </c>
      <c r="B227" t="s">
        <v>79</v>
      </c>
      <c r="C227" t="s">
        <v>82</v>
      </c>
      <c r="D227" s="19">
        <v>46151</v>
      </c>
      <c r="E227" t="s">
        <v>76</v>
      </c>
      <c r="F227">
        <f>+_xlfn.ISOWEEKNUM(export?format_csv_gid_612082435[[#This Row],[Fecha]])</f>
        <v>19</v>
      </c>
      <c r="G227">
        <f>+YEAR(export?format_csv_gid_612082435[[#This Row],[Fecha]])</f>
        <v>2026</v>
      </c>
      <c r="H227" t="str">
        <f>+VLOOKUP(export?format_csv_gid_612082435[[#This Row],[Valor]],Listas!A:B,2,FALSE)</f>
        <v>Asistencia</v>
      </c>
    </row>
    <row r="228" spans="1:8" hidden="1" x14ac:dyDescent="0.3">
      <c r="A228" t="s">
        <v>72</v>
      </c>
      <c r="B228" t="s">
        <v>79</v>
      </c>
      <c r="C228" t="s">
        <v>82</v>
      </c>
      <c r="D228" s="19">
        <v>46152</v>
      </c>
      <c r="E228" t="s">
        <v>113</v>
      </c>
      <c r="F228">
        <f>+_xlfn.ISOWEEKNUM(export?format_csv_gid_612082435[[#This Row],[Fecha]])</f>
        <v>19</v>
      </c>
      <c r="G228">
        <f>+YEAR(export?format_csv_gid_612082435[[#This Row],[Fecha]])</f>
        <v>2026</v>
      </c>
      <c r="H228" t="str">
        <f>+VLOOKUP(export?format_csv_gid_612082435[[#This Row],[Valor]],Listas!A:B,2,FALSE)</f>
        <v>D. Remunerado</v>
      </c>
    </row>
    <row r="229" spans="1:8" hidden="1" x14ac:dyDescent="0.3">
      <c r="A229" t="s">
        <v>72</v>
      </c>
      <c r="B229" t="s">
        <v>79</v>
      </c>
      <c r="C229" t="s">
        <v>82</v>
      </c>
      <c r="D229" s="19">
        <v>46153</v>
      </c>
      <c r="E229" t="s">
        <v>76</v>
      </c>
      <c r="F229">
        <f>+_xlfn.ISOWEEKNUM(export?format_csv_gid_612082435[[#This Row],[Fecha]])</f>
        <v>20</v>
      </c>
      <c r="G229">
        <f>+YEAR(export?format_csv_gid_612082435[[#This Row],[Fecha]])</f>
        <v>2026</v>
      </c>
      <c r="H229" t="str">
        <f>+VLOOKUP(export?format_csv_gid_612082435[[#This Row],[Valor]],Listas!A:B,2,FALSE)</f>
        <v>Asistencia</v>
      </c>
    </row>
    <row r="230" spans="1:8" hidden="1" x14ac:dyDescent="0.3">
      <c r="A230" t="s">
        <v>72</v>
      </c>
      <c r="B230" t="s">
        <v>79</v>
      </c>
      <c r="C230" t="s">
        <v>82</v>
      </c>
      <c r="D230" s="19">
        <v>46154</v>
      </c>
      <c r="E230" t="s">
        <v>76</v>
      </c>
      <c r="F230">
        <f>+_xlfn.ISOWEEKNUM(export?format_csv_gid_612082435[[#This Row],[Fecha]])</f>
        <v>20</v>
      </c>
      <c r="G230">
        <f>+YEAR(export?format_csv_gid_612082435[[#This Row],[Fecha]])</f>
        <v>2026</v>
      </c>
      <c r="H230" t="str">
        <f>+VLOOKUP(export?format_csv_gid_612082435[[#This Row],[Valor]],Listas!A:B,2,FALSE)</f>
        <v>Asistencia</v>
      </c>
    </row>
    <row r="231" spans="1:8" hidden="1" x14ac:dyDescent="0.3">
      <c r="A231" t="s">
        <v>72</v>
      </c>
      <c r="B231" t="s">
        <v>79</v>
      </c>
      <c r="C231" t="s">
        <v>82</v>
      </c>
      <c r="D231" s="19">
        <v>46155</v>
      </c>
      <c r="E231" t="s">
        <v>76</v>
      </c>
      <c r="F231">
        <f>+_xlfn.ISOWEEKNUM(export?format_csv_gid_612082435[[#This Row],[Fecha]])</f>
        <v>20</v>
      </c>
      <c r="G231">
        <f>+YEAR(export?format_csv_gid_612082435[[#This Row],[Fecha]])</f>
        <v>2026</v>
      </c>
      <c r="H231" t="str">
        <f>+VLOOKUP(export?format_csv_gid_612082435[[#This Row],[Valor]],Listas!A:B,2,FALSE)</f>
        <v>Asistencia</v>
      </c>
    </row>
    <row r="232" spans="1:8" hidden="1" x14ac:dyDescent="0.3">
      <c r="A232" t="s">
        <v>72</v>
      </c>
      <c r="B232" t="s">
        <v>79</v>
      </c>
      <c r="C232" t="s">
        <v>82</v>
      </c>
      <c r="D232" s="19">
        <v>46156</v>
      </c>
      <c r="E232" t="s">
        <v>76</v>
      </c>
      <c r="F232">
        <f>+_xlfn.ISOWEEKNUM(export?format_csv_gid_612082435[[#This Row],[Fecha]])</f>
        <v>20</v>
      </c>
      <c r="G232">
        <f>+YEAR(export?format_csv_gid_612082435[[#This Row],[Fecha]])</f>
        <v>2026</v>
      </c>
      <c r="H232" t="str">
        <f>+VLOOKUP(export?format_csv_gid_612082435[[#This Row],[Valor]],Listas!A:B,2,FALSE)</f>
        <v>Asistencia</v>
      </c>
    </row>
    <row r="233" spans="1:8" hidden="1" x14ac:dyDescent="0.3">
      <c r="A233" t="s">
        <v>72</v>
      </c>
      <c r="B233" t="s">
        <v>79</v>
      </c>
      <c r="C233" t="s">
        <v>82</v>
      </c>
      <c r="D233" s="19">
        <v>46157</v>
      </c>
      <c r="E233" t="s">
        <v>76</v>
      </c>
      <c r="F233">
        <f>+_xlfn.ISOWEEKNUM(export?format_csv_gid_612082435[[#This Row],[Fecha]])</f>
        <v>20</v>
      </c>
      <c r="G233">
        <f>+YEAR(export?format_csv_gid_612082435[[#This Row],[Fecha]])</f>
        <v>2026</v>
      </c>
      <c r="H233" t="str">
        <f>+VLOOKUP(export?format_csv_gid_612082435[[#This Row],[Valor]],Listas!A:B,2,FALSE)</f>
        <v>Asistencia</v>
      </c>
    </row>
    <row r="234" spans="1:8" hidden="1" x14ac:dyDescent="0.3">
      <c r="A234" t="s">
        <v>72</v>
      </c>
      <c r="B234" t="s">
        <v>79</v>
      </c>
      <c r="C234" t="s">
        <v>82</v>
      </c>
      <c r="D234" s="19">
        <v>46158</v>
      </c>
      <c r="E234" t="s">
        <v>77</v>
      </c>
      <c r="F234">
        <f>+_xlfn.ISOWEEKNUM(export?format_csv_gid_612082435[[#This Row],[Fecha]])</f>
        <v>20</v>
      </c>
      <c r="G234">
        <f>+YEAR(export?format_csv_gid_612082435[[#This Row],[Fecha]])</f>
        <v>2026</v>
      </c>
      <c r="H234" t="e">
        <f>+VLOOKUP(export?format_csv_gid_612082435[[#This Row],[Valor]],Listas!A:B,2,FALSE)</f>
        <v>#N/A</v>
      </c>
    </row>
    <row r="235" spans="1:8" hidden="1" x14ac:dyDescent="0.3">
      <c r="A235" t="s">
        <v>72</v>
      </c>
      <c r="B235" t="s">
        <v>79</v>
      </c>
      <c r="C235" t="s">
        <v>82</v>
      </c>
      <c r="D235" s="19">
        <v>46159</v>
      </c>
      <c r="E235" t="s">
        <v>77</v>
      </c>
      <c r="F235">
        <f>+_xlfn.ISOWEEKNUM(export?format_csv_gid_612082435[[#This Row],[Fecha]])</f>
        <v>20</v>
      </c>
      <c r="G235">
        <f>+YEAR(export?format_csv_gid_612082435[[#This Row],[Fecha]])</f>
        <v>2026</v>
      </c>
      <c r="H235" t="e">
        <f>+VLOOKUP(export?format_csv_gid_612082435[[#This Row],[Valor]],Listas!A:B,2,FALSE)</f>
        <v>#N/A</v>
      </c>
    </row>
    <row r="236" spans="1:8" hidden="1" x14ac:dyDescent="0.3">
      <c r="A236" t="s">
        <v>72</v>
      </c>
      <c r="B236" t="s">
        <v>79</v>
      </c>
      <c r="C236" t="s">
        <v>82</v>
      </c>
      <c r="D236" s="19">
        <v>46160</v>
      </c>
      <c r="E236" t="s">
        <v>77</v>
      </c>
      <c r="F236">
        <f>+_xlfn.ISOWEEKNUM(export?format_csv_gid_612082435[[#This Row],[Fecha]])</f>
        <v>21</v>
      </c>
      <c r="G236">
        <f>+YEAR(export?format_csv_gid_612082435[[#This Row],[Fecha]])</f>
        <v>2026</v>
      </c>
      <c r="H236" t="e">
        <f>+VLOOKUP(export?format_csv_gid_612082435[[#This Row],[Valor]],Listas!A:B,2,FALSE)</f>
        <v>#N/A</v>
      </c>
    </row>
    <row r="237" spans="1:8" hidden="1" x14ac:dyDescent="0.3">
      <c r="A237" t="s">
        <v>72</v>
      </c>
      <c r="B237" t="s">
        <v>79</v>
      </c>
      <c r="C237" t="s">
        <v>82</v>
      </c>
      <c r="D237" s="19">
        <v>46161</v>
      </c>
      <c r="E237" t="s">
        <v>77</v>
      </c>
      <c r="F237">
        <f>+_xlfn.ISOWEEKNUM(export?format_csv_gid_612082435[[#This Row],[Fecha]])</f>
        <v>21</v>
      </c>
      <c r="G237">
        <f>+YEAR(export?format_csv_gid_612082435[[#This Row],[Fecha]])</f>
        <v>2026</v>
      </c>
      <c r="H237" t="e">
        <f>+VLOOKUP(export?format_csv_gid_612082435[[#This Row],[Valor]],Listas!A:B,2,FALSE)</f>
        <v>#N/A</v>
      </c>
    </row>
    <row r="238" spans="1:8" hidden="1" x14ac:dyDescent="0.3">
      <c r="A238" t="s">
        <v>72</v>
      </c>
      <c r="B238" t="s">
        <v>79</v>
      </c>
      <c r="C238" t="s">
        <v>82</v>
      </c>
      <c r="D238" s="19">
        <v>46162</v>
      </c>
      <c r="E238" t="s">
        <v>77</v>
      </c>
      <c r="F238">
        <f>+_xlfn.ISOWEEKNUM(export?format_csv_gid_612082435[[#This Row],[Fecha]])</f>
        <v>21</v>
      </c>
      <c r="G238">
        <f>+YEAR(export?format_csv_gid_612082435[[#This Row],[Fecha]])</f>
        <v>2026</v>
      </c>
      <c r="H238" t="e">
        <f>+VLOOKUP(export?format_csv_gid_612082435[[#This Row],[Valor]],Listas!A:B,2,FALSE)</f>
        <v>#N/A</v>
      </c>
    </row>
    <row r="239" spans="1:8" hidden="1" x14ac:dyDescent="0.3">
      <c r="A239" t="s">
        <v>72</v>
      </c>
      <c r="B239" t="s">
        <v>79</v>
      </c>
      <c r="C239" t="s">
        <v>82</v>
      </c>
      <c r="D239" s="19">
        <v>46163</v>
      </c>
      <c r="E239" t="s">
        <v>77</v>
      </c>
      <c r="F239">
        <f>+_xlfn.ISOWEEKNUM(export?format_csv_gid_612082435[[#This Row],[Fecha]])</f>
        <v>21</v>
      </c>
      <c r="G239">
        <f>+YEAR(export?format_csv_gid_612082435[[#This Row],[Fecha]])</f>
        <v>2026</v>
      </c>
      <c r="H239" t="e">
        <f>+VLOOKUP(export?format_csv_gid_612082435[[#This Row],[Valor]],Listas!A:B,2,FALSE)</f>
        <v>#N/A</v>
      </c>
    </row>
    <row r="240" spans="1:8" hidden="1" x14ac:dyDescent="0.3">
      <c r="A240" t="s">
        <v>72</v>
      </c>
      <c r="B240" t="s">
        <v>79</v>
      </c>
      <c r="C240" t="s">
        <v>82</v>
      </c>
      <c r="D240" s="19">
        <v>46164</v>
      </c>
      <c r="E240" t="s">
        <v>77</v>
      </c>
      <c r="F240">
        <f>+_xlfn.ISOWEEKNUM(export?format_csv_gid_612082435[[#This Row],[Fecha]])</f>
        <v>21</v>
      </c>
      <c r="G240">
        <f>+YEAR(export?format_csv_gid_612082435[[#This Row],[Fecha]])</f>
        <v>2026</v>
      </c>
      <c r="H240" t="e">
        <f>+VLOOKUP(export?format_csv_gid_612082435[[#This Row],[Valor]],Listas!A:B,2,FALSE)</f>
        <v>#N/A</v>
      </c>
    </row>
    <row r="241" spans="1:8" hidden="1" x14ac:dyDescent="0.3">
      <c r="A241" t="s">
        <v>72</v>
      </c>
      <c r="B241" t="s">
        <v>79</v>
      </c>
      <c r="C241" t="s">
        <v>82</v>
      </c>
      <c r="D241" s="19">
        <v>46165</v>
      </c>
      <c r="E241" t="s">
        <v>77</v>
      </c>
      <c r="F241">
        <f>+_xlfn.ISOWEEKNUM(export?format_csv_gid_612082435[[#This Row],[Fecha]])</f>
        <v>21</v>
      </c>
      <c r="G241">
        <f>+YEAR(export?format_csv_gid_612082435[[#This Row],[Fecha]])</f>
        <v>2026</v>
      </c>
      <c r="H241" t="e">
        <f>+VLOOKUP(export?format_csv_gid_612082435[[#This Row],[Valor]],Listas!A:B,2,FALSE)</f>
        <v>#N/A</v>
      </c>
    </row>
    <row r="242" spans="1:8" hidden="1" x14ac:dyDescent="0.3">
      <c r="A242" t="s">
        <v>72</v>
      </c>
      <c r="B242" t="s">
        <v>79</v>
      </c>
      <c r="C242" t="s">
        <v>82</v>
      </c>
      <c r="D242" s="19">
        <v>46166</v>
      </c>
      <c r="E242" t="s">
        <v>77</v>
      </c>
      <c r="F242">
        <f>+_xlfn.ISOWEEKNUM(export?format_csv_gid_612082435[[#This Row],[Fecha]])</f>
        <v>21</v>
      </c>
      <c r="G242">
        <f>+YEAR(export?format_csv_gid_612082435[[#This Row],[Fecha]])</f>
        <v>2026</v>
      </c>
      <c r="H242" t="e">
        <f>+VLOOKUP(export?format_csv_gid_612082435[[#This Row],[Valor]],Listas!A:B,2,FALSE)</f>
        <v>#N/A</v>
      </c>
    </row>
    <row r="243" spans="1:8" hidden="1" x14ac:dyDescent="0.3">
      <c r="A243" t="s">
        <v>72</v>
      </c>
      <c r="B243" t="s">
        <v>79</v>
      </c>
      <c r="C243" t="s">
        <v>82</v>
      </c>
      <c r="D243" s="19">
        <v>46167</v>
      </c>
      <c r="E243" t="s">
        <v>77</v>
      </c>
      <c r="F243">
        <f>+_xlfn.ISOWEEKNUM(export?format_csv_gid_612082435[[#This Row],[Fecha]])</f>
        <v>22</v>
      </c>
      <c r="G243">
        <f>+YEAR(export?format_csv_gid_612082435[[#This Row],[Fecha]])</f>
        <v>2026</v>
      </c>
      <c r="H243" t="e">
        <f>+VLOOKUP(export?format_csv_gid_612082435[[#This Row],[Valor]],Listas!A:B,2,FALSE)</f>
        <v>#N/A</v>
      </c>
    </row>
    <row r="244" spans="1:8" hidden="1" x14ac:dyDescent="0.3">
      <c r="A244" t="s">
        <v>72</v>
      </c>
      <c r="B244" t="s">
        <v>79</v>
      </c>
      <c r="C244" t="s">
        <v>82</v>
      </c>
      <c r="D244" s="19">
        <v>46168</v>
      </c>
      <c r="E244" t="s">
        <v>77</v>
      </c>
      <c r="F244">
        <f>+_xlfn.ISOWEEKNUM(export?format_csv_gid_612082435[[#This Row],[Fecha]])</f>
        <v>22</v>
      </c>
      <c r="G244">
        <f>+YEAR(export?format_csv_gid_612082435[[#This Row],[Fecha]])</f>
        <v>2026</v>
      </c>
      <c r="H244" t="e">
        <f>+VLOOKUP(export?format_csv_gid_612082435[[#This Row],[Valor]],Listas!A:B,2,FALSE)</f>
        <v>#N/A</v>
      </c>
    </row>
    <row r="245" spans="1:8" hidden="1" x14ac:dyDescent="0.3">
      <c r="A245" t="s">
        <v>72</v>
      </c>
      <c r="B245" t="s">
        <v>79</v>
      </c>
      <c r="C245" t="s">
        <v>82</v>
      </c>
      <c r="D245" s="19">
        <v>46169</v>
      </c>
      <c r="E245" t="s">
        <v>77</v>
      </c>
      <c r="F245">
        <f>+_xlfn.ISOWEEKNUM(export?format_csv_gid_612082435[[#This Row],[Fecha]])</f>
        <v>22</v>
      </c>
      <c r="G245">
        <f>+YEAR(export?format_csv_gid_612082435[[#This Row],[Fecha]])</f>
        <v>2026</v>
      </c>
      <c r="H245" t="e">
        <f>+VLOOKUP(export?format_csv_gid_612082435[[#This Row],[Valor]],Listas!A:B,2,FALSE)</f>
        <v>#N/A</v>
      </c>
    </row>
    <row r="246" spans="1:8" hidden="1" x14ac:dyDescent="0.3">
      <c r="A246" t="s">
        <v>72</v>
      </c>
      <c r="B246" t="s">
        <v>79</v>
      </c>
      <c r="C246" t="s">
        <v>82</v>
      </c>
      <c r="D246" s="19">
        <v>46170</v>
      </c>
      <c r="E246" t="s">
        <v>77</v>
      </c>
      <c r="F246">
        <f>+_xlfn.ISOWEEKNUM(export?format_csv_gid_612082435[[#This Row],[Fecha]])</f>
        <v>22</v>
      </c>
      <c r="G246">
        <f>+YEAR(export?format_csv_gid_612082435[[#This Row],[Fecha]])</f>
        <v>2026</v>
      </c>
      <c r="H246" t="e">
        <f>+VLOOKUP(export?format_csv_gid_612082435[[#This Row],[Valor]],Listas!A:B,2,FALSE)</f>
        <v>#N/A</v>
      </c>
    </row>
    <row r="247" spans="1:8" hidden="1" x14ac:dyDescent="0.3">
      <c r="A247" t="s">
        <v>72</v>
      </c>
      <c r="B247" t="s">
        <v>79</v>
      </c>
      <c r="C247" t="s">
        <v>82</v>
      </c>
      <c r="D247" s="19">
        <v>46171</v>
      </c>
      <c r="E247" t="s">
        <v>77</v>
      </c>
      <c r="F247">
        <f>+_xlfn.ISOWEEKNUM(export?format_csv_gid_612082435[[#This Row],[Fecha]])</f>
        <v>22</v>
      </c>
      <c r="G247">
        <f>+YEAR(export?format_csv_gid_612082435[[#This Row],[Fecha]])</f>
        <v>2026</v>
      </c>
      <c r="H247" t="e">
        <f>+VLOOKUP(export?format_csv_gid_612082435[[#This Row],[Valor]],Listas!A:B,2,FALSE)</f>
        <v>#N/A</v>
      </c>
    </row>
    <row r="248" spans="1:8" hidden="1" x14ac:dyDescent="0.3">
      <c r="A248" t="s">
        <v>72</v>
      </c>
      <c r="B248" t="s">
        <v>79</v>
      </c>
      <c r="C248" t="s">
        <v>82</v>
      </c>
      <c r="D248" s="19">
        <v>46172</v>
      </c>
      <c r="E248" t="s">
        <v>77</v>
      </c>
      <c r="F248">
        <f>+_xlfn.ISOWEEKNUM(export?format_csv_gid_612082435[[#This Row],[Fecha]])</f>
        <v>22</v>
      </c>
      <c r="G248">
        <f>+YEAR(export?format_csv_gid_612082435[[#This Row],[Fecha]])</f>
        <v>2026</v>
      </c>
      <c r="H248" t="e">
        <f>+VLOOKUP(export?format_csv_gid_612082435[[#This Row],[Valor]],Listas!A:B,2,FALSE)</f>
        <v>#N/A</v>
      </c>
    </row>
    <row r="249" spans="1:8" hidden="1" x14ac:dyDescent="0.3">
      <c r="A249" t="s">
        <v>72</v>
      </c>
      <c r="B249" t="s">
        <v>79</v>
      </c>
      <c r="C249" t="s">
        <v>82</v>
      </c>
      <c r="D249" s="19">
        <v>46173</v>
      </c>
      <c r="E249" t="s">
        <v>77</v>
      </c>
      <c r="F249">
        <f>+_xlfn.ISOWEEKNUM(export?format_csv_gid_612082435[[#This Row],[Fecha]])</f>
        <v>22</v>
      </c>
      <c r="G249">
        <f>+YEAR(export?format_csv_gid_612082435[[#This Row],[Fecha]])</f>
        <v>2026</v>
      </c>
      <c r="H249" t="e">
        <f>+VLOOKUP(export?format_csv_gid_612082435[[#This Row],[Valor]],Listas!A:B,2,FALSE)</f>
        <v>#N/A</v>
      </c>
    </row>
    <row r="250" spans="1:8" hidden="1" x14ac:dyDescent="0.3">
      <c r="A250" t="s">
        <v>83</v>
      </c>
      <c r="B250" t="s">
        <v>84</v>
      </c>
      <c r="C250" t="s">
        <v>150</v>
      </c>
      <c r="D250" s="19">
        <v>46143</v>
      </c>
      <c r="E250" t="s">
        <v>85</v>
      </c>
      <c r="F250">
        <f>+_xlfn.ISOWEEKNUM(export?format_csv_gid_612082435[[#This Row],[Fecha]])</f>
        <v>18</v>
      </c>
      <c r="G250">
        <f>+YEAR(export?format_csv_gid_612082435[[#This Row],[Fecha]])</f>
        <v>2026</v>
      </c>
      <c r="H250" t="e">
        <f>+VLOOKUP(export?format_csv_gid_612082435[[#This Row],[Valor]],Listas!A:B,2,FALSE)</f>
        <v>#N/A</v>
      </c>
    </row>
    <row r="251" spans="1:8" hidden="1" x14ac:dyDescent="0.3">
      <c r="A251" t="s">
        <v>83</v>
      </c>
      <c r="B251" t="s">
        <v>84</v>
      </c>
      <c r="C251" t="s">
        <v>150</v>
      </c>
      <c r="D251" s="19">
        <v>46144</v>
      </c>
      <c r="E251" t="s">
        <v>85</v>
      </c>
      <c r="F251">
        <f>+_xlfn.ISOWEEKNUM(export?format_csv_gid_612082435[[#This Row],[Fecha]])</f>
        <v>18</v>
      </c>
      <c r="G251">
        <f>+YEAR(export?format_csv_gid_612082435[[#This Row],[Fecha]])</f>
        <v>2026</v>
      </c>
      <c r="H251" t="e">
        <f>+VLOOKUP(export?format_csv_gid_612082435[[#This Row],[Valor]],Listas!A:B,2,FALSE)</f>
        <v>#N/A</v>
      </c>
    </row>
    <row r="252" spans="1:8" hidden="1" x14ac:dyDescent="0.3">
      <c r="A252" t="s">
        <v>83</v>
      </c>
      <c r="B252" t="s">
        <v>84</v>
      </c>
      <c r="C252" t="s">
        <v>150</v>
      </c>
      <c r="D252" s="19">
        <v>46145</v>
      </c>
      <c r="E252" t="s">
        <v>85</v>
      </c>
      <c r="F252">
        <f>+_xlfn.ISOWEEKNUM(export?format_csv_gid_612082435[[#This Row],[Fecha]])</f>
        <v>18</v>
      </c>
      <c r="G252">
        <f>+YEAR(export?format_csv_gid_612082435[[#This Row],[Fecha]])</f>
        <v>2026</v>
      </c>
      <c r="H252" t="e">
        <f>+VLOOKUP(export?format_csv_gid_612082435[[#This Row],[Valor]],Listas!A:B,2,FALSE)</f>
        <v>#N/A</v>
      </c>
    </row>
    <row r="253" spans="1:8" hidden="1" x14ac:dyDescent="0.3">
      <c r="A253" t="s">
        <v>83</v>
      </c>
      <c r="B253" t="s">
        <v>84</v>
      </c>
      <c r="C253" t="s">
        <v>150</v>
      </c>
      <c r="D253" s="19">
        <v>46146</v>
      </c>
      <c r="E253" t="s">
        <v>85</v>
      </c>
      <c r="F253">
        <f>+_xlfn.ISOWEEKNUM(export?format_csv_gid_612082435[[#This Row],[Fecha]])</f>
        <v>19</v>
      </c>
      <c r="G253">
        <f>+YEAR(export?format_csv_gid_612082435[[#This Row],[Fecha]])</f>
        <v>2026</v>
      </c>
      <c r="H253" t="e">
        <f>+VLOOKUP(export?format_csv_gid_612082435[[#This Row],[Valor]],Listas!A:B,2,FALSE)</f>
        <v>#N/A</v>
      </c>
    </row>
    <row r="254" spans="1:8" hidden="1" x14ac:dyDescent="0.3">
      <c r="A254" t="s">
        <v>83</v>
      </c>
      <c r="B254" t="s">
        <v>84</v>
      </c>
      <c r="C254" t="s">
        <v>150</v>
      </c>
      <c r="D254" s="19">
        <v>46147</v>
      </c>
      <c r="E254" t="s">
        <v>85</v>
      </c>
      <c r="F254">
        <f>+_xlfn.ISOWEEKNUM(export?format_csv_gid_612082435[[#This Row],[Fecha]])</f>
        <v>19</v>
      </c>
      <c r="G254">
        <f>+YEAR(export?format_csv_gid_612082435[[#This Row],[Fecha]])</f>
        <v>2026</v>
      </c>
      <c r="H254" t="e">
        <f>+VLOOKUP(export?format_csv_gid_612082435[[#This Row],[Valor]],Listas!A:B,2,FALSE)</f>
        <v>#N/A</v>
      </c>
    </row>
    <row r="255" spans="1:8" hidden="1" x14ac:dyDescent="0.3">
      <c r="A255" t="s">
        <v>83</v>
      </c>
      <c r="B255" t="s">
        <v>84</v>
      </c>
      <c r="C255" t="s">
        <v>150</v>
      </c>
      <c r="D255" s="19">
        <v>46148</v>
      </c>
      <c r="E255" t="s">
        <v>85</v>
      </c>
      <c r="F255">
        <f>+_xlfn.ISOWEEKNUM(export?format_csv_gid_612082435[[#This Row],[Fecha]])</f>
        <v>19</v>
      </c>
      <c r="G255">
        <f>+YEAR(export?format_csv_gid_612082435[[#This Row],[Fecha]])</f>
        <v>2026</v>
      </c>
      <c r="H255" t="e">
        <f>+VLOOKUP(export?format_csv_gid_612082435[[#This Row],[Valor]],Listas!A:B,2,FALSE)</f>
        <v>#N/A</v>
      </c>
    </row>
    <row r="256" spans="1:8" hidden="1" x14ac:dyDescent="0.3">
      <c r="A256" t="s">
        <v>83</v>
      </c>
      <c r="B256" t="s">
        <v>84</v>
      </c>
      <c r="C256" t="s">
        <v>150</v>
      </c>
      <c r="D256" s="19">
        <v>46149</v>
      </c>
      <c r="E256" t="s">
        <v>85</v>
      </c>
      <c r="F256">
        <f>+_xlfn.ISOWEEKNUM(export?format_csv_gid_612082435[[#This Row],[Fecha]])</f>
        <v>19</v>
      </c>
      <c r="G256">
        <f>+YEAR(export?format_csv_gid_612082435[[#This Row],[Fecha]])</f>
        <v>2026</v>
      </c>
      <c r="H256" t="e">
        <f>+VLOOKUP(export?format_csv_gid_612082435[[#This Row],[Valor]],Listas!A:B,2,FALSE)</f>
        <v>#N/A</v>
      </c>
    </row>
    <row r="257" spans="1:8" hidden="1" x14ac:dyDescent="0.3">
      <c r="A257" t="s">
        <v>83</v>
      </c>
      <c r="B257" t="s">
        <v>84</v>
      </c>
      <c r="C257" t="s">
        <v>150</v>
      </c>
      <c r="D257" s="19">
        <v>46150</v>
      </c>
      <c r="E257" t="s">
        <v>85</v>
      </c>
      <c r="F257">
        <f>+_xlfn.ISOWEEKNUM(export?format_csv_gid_612082435[[#This Row],[Fecha]])</f>
        <v>19</v>
      </c>
      <c r="G257">
        <f>+YEAR(export?format_csv_gid_612082435[[#This Row],[Fecha]])</f>
        <v>2026</v>
      </c>
      <c r="H257" t="e">
        <f>+VLOOKUP(export?format_csv_gid_612082435[[#This Row],[Valor]],Listas!A:B,2,FALSE)</f>
        <v>#N/A</v>
      </c>
    </row>
    <row r="258" spans="1:8" hidden="1" x14ac:dyDescent="0.3">
      <c r="A258" t="s">
        <v>83</v>
      </c>
      <c r="B258" t="s">
        <v>84</v>
      </c>
      <c r="C258" t="s">
        <v>150</v>
      </c>
      <c r="D258" s="19">
        <v>46151</v>
      </c>
      <c r="E258" t="s">
        <v>85</v>
      </c>
      <c r="F258">
        <f>+_xlfn.ISOWEEKNUM(export?format_csv_gid_612082435[[#This Row],[Fecha]])</f>
        <v>19</v>
      </c>
      <c r="G258">
        <f>+YEAR(export?format_csv_gid_612082435[[#This Row],[Fecha]])</f>
        <v>2026</v>
      </c>
      <c r="H258" t="e">
        <f>+VLOOKUP(export?format_csv_gid_612082435[[#This Row],[Valor]],Listas!A:B,2,FALSE)</f>
        <v>#N/A</v>
      </c>
    </row>
    <row r="259" spans="1:8" hidden="1" x14ac:dyDescent="0.3">
      <c r="A259" t="s">
        <v>83</v>
      </c>
      <c r="B259" t="s">
        <v>84</v>
      </c>
      <c r="C259" t="s">
        <v>150</v>
      </c>
      <c r="D259" s="19">
        <v>46152</v>
      </c>
      <c r="E259" t="s">
        <v>85</v>
      </c>
      <c r="F259">
        <f>+_xlfn.ISOWEEKNUM(export?format_csv_gid_612082435[[#This Row],[Fecha]])</f>
        <v>19</v>
      </c>
      <c r="G259">
        <f>+YEAR(export?format_csv_gid_612082435[[#This Row],[Fecha]])</f>
        <v>2026</v>
      </c>
      <c r="H259" t="e">
        <f>+VLOOKUP(export?format_csv_gid_612082435[[#This Row],[Valor]],Listas!A:B,2,FALSE)</f>
        <v>#N/A</v>
      </c>
    </row>
    <row r="260" spans="1:8" hidden="1" x14ac:dyDescent="0.3">
      <c r="A260" t="s">
        <v>83</v>
      </c>
      <c r="B260" t="s">
        <v>84</v>
      </c>
      <c r="C260" t="s">
        <v>150</v>
      </c>
      <c r="D260" s="19">
        <v>46153</v>
      </c>
      <c r="E260" t="s">
        <v>85</v>
      </c>
      <c r="F260">
        <f>+_xlfn.ISOWEEKNUM(export?format_csv_gid_612082435[[#This Row],[Fecha]])</f>
        <v>20</v>
      </c>
      <c r="G260">
        <f>+YEAR(export?format_csv_gid_612082435[[#This Row],[Fecha]])</f>
        <v>2026</v>
      </c>
      <c r="H260" t="e">
        <f>+VLOOKUP(export?format_csv_gid_612082435[[#This Row],[Valor]],Listas!A:B,2,FALSE)</f>
        <v>#N/A</v>
      </c>
    </row>
    <row r="261" spans="1:8" hidden="1" x14ac:dyDescent="0.3">
      <c r="A261" t="s">
        <v>83</v>
      </c>
      <c r="B261" t="s">
        <v>84</v>
      </c>
      <c r="C261" t="s">
        <v>150</v>
      </c>
      <c r="D261" s="19">
        <v>46154</v>
      </c>
      <c r="E261" t="s">
        <v>85</v>
      </c>
      <c r="F261">
        <f>+_xlfn.ISOWEEKNUM(export?format_csv_gid_612082435[[#This Row],[Fecha]])</f>
        <v>20</v>
      </c>
      <c r="G261">
        <f>+YEAR(export?format_csv_gid_612082435[[#This Row],[Fecha]])</f>
        <v>2026</v>
      </c>
      <c r="H261" t="e">
        <f>+VLOOKUP(export?format_csv_gid_612082435[[#This Row],[Valor]],Listas!A:B,2,FALSE)</f>
        <v>#N/A</v>
      </c>
    </row>
    <row r="262" spans="1:8" hidden="1" x14ac:dyDescent="0.3">
      <c r="A262" t="s">
        <v>83</v>
      </c>
      <c r="B262" t="s">
        <v>84</v>
      </c>
      <c r="C262" t="s">
        <v>150</v>
      </c>
      <c r="D262" s="19">
        <v>46155</v>
      </c>
      <c r="E262" t="s">
        <v>77</v>
      </c>
      <c r="F262">
        <f>+_xlfn.ISOWEEKNUM(export?format_csv_gid_612082435[[#This Row],[Fecha]])</f>
        <v>20</v>
      </c>
      <c r="G262">
        <f>+YEAR(export?format_csv_gid_612082435[[#This Row],[Fecha]])</f>
        <v>2026</v>
      </c>
      <c r="H262" t="e">
        <f>+VLOOKUP(export?format_csv_gid_612082435[[#This Row],[Valor]],Listas!A:B,2,FALSE)</f>
        <v>#N/A</v>
      </c>
    </row>
    <row r="263" spans="1:8" hidden="1" x14ac:dyDescent="0.3">
      <c r="A263" t="s">
        <v>83</v>
      </c>
      <c r="B263" t="s">
        <v>84</v>
      </c>
      <c r="C263" t="s">
        <v>150</v>
      </c>
      <c r="D263" s="19">
        <v>46156</v>
      </c>
      <c r="E263" t="s">
        <v>77</v>
      </c>
      <c r="F263">
        <f>+_xlfn.ISOWEEKNUM(export?format_csv_gid_612082435[[#This Row],[Fecha]])</f>
        <v>20</v>
      </c>
      <c r="G263">
        <f>+YEAR(export?format_csv_gid_612082435[[#This Row],[Fecha]])</f>
        <v>2026</v>
      </c>
      <c r="H263" t="e">
        <f>+VLOOKUP(export?format_csv_gid_612082435[[#This Row],[Valor]],Listas!A:B,2,FALSE)</f>
        <v>#N/A</v>
      </c>
    </row>
    <row r="264" spans="1:8" hidden="1" x14ac:dyDescent="0.3">
      <c r="A264" t="s">
        <v>83</v>
      </c>
      <c r="B264" t="s">
        <v>84</v>
      </c>
      <c r="C264" t="s">
        <v>150</v>
      </c>
      <c r="D264" s="19">
        <v>46157</v>
      </c>
      <c r="E264" t="s">
        <v>77</v>
      </c>
      <c r="F264">
        <f>+_xlfn.ISOWEEKNUM(export?format_csv_gid_612082435[[#This Row],[Fecha]])</f>
        <v>20</v>
      </c>
      <c r="G264">
        <f>+YEAR(export?format_csv_gid_612082435[[#This Row],[Fecha]])</f>
        <v>2026</v>
      </c>
      <c r="H264" t="e">
        <f>+VLOOKUP(export?format_csv_gid_612082435[[#This Row],[Valor]],Listas!A:B,2,FALSE)</f>
        <v>#N/A</v>
      </c>
    </row>
    <row r="265" spans="1:8" hidden="1" x14ac:dyDescent="0.3">
      <c r="A265" t="s">
        <v>83</v>
      </c>
      <c r="B265" t="s">
        <v>84</v>
      </c>
      <c r="C265" t="s">
        <v>150</v>
      </c>
      <c r="D265" s="19">
        <v>46158</v>
      </c>
      <c r="E265" t="s">
        <v>77</v>
      </c>
      <c r="F265">
        <f>+_xlfn.ISOWEEKNUM(export?format_csv_gid_612082435[[#This Row],[Fecha]])</f>
        <v>20</v>
      </c>
      <c r="G265">
        <f>+YEAR(export?format_csv_gid_612082435[[#This Row],[Fecha]])</f>
        <v>2026</v>
      </c>
      <c r="H265" t="e">
        <f>+VLOOKUP(export?format_csv_gid_612082435[[#This Row],[Valor]],Listas!A:B,2,FALSE)</f>
        <v>#N/A</v>
      </c>
    </row>
    <row r="266" spans="1:8" hidden="1" x14ac:dyDescent="0.3">
      <c r="A266" t="s">
        <v>83</v>
      </c>
      <c r="B266" t="s">
        <v>84</v>
      </c>
      <c r="C266" t="s">
        <v>150</v>
      </c>
      <c r="D266" s="19">
        <v>46159</v>
      </c>
      <c r="E266" t="s">
        <v>77</v>
      </c>
      <c r="F266">
        <f>+_xlfn.ISOWEEKNUM(export?format_csv_gid_612082435[[#This Row],[Fecha]])</f>
        <v>20</v>
      </c>
      <c r="G266">
        <f>+YEAR(export?format_csv_gid_612082435[[#This Row],[Fecha]])</f>
        <v>2026</v>
      </c>
      <c r="H266" t="e">
        <f>+VLOOKUP(export?format_csv_gid_612082435[[#This Row],[Valor]],Listas!A:B,2,FALSE)</f>
        <v>#N/A</v>
      </c>
    </row>
    <row r="267" spans="1:8" hidden="1" x14ac:dyDescent="0.3">
      <c r="A267" t="s">
        <v>83</v>
      </c>
      <c r="B267" t="s">
        <v>84</v>
      </c>
      <c r="C267" t="s">
        <v>150</v>
      </c>
      <c r="D267" s="19">
        <v>46160</v>
      </c>
      <c r="E267" t="s">
        <v>77</v>
      </c>
      <c r="F267">
        <f>+_xlfn.ISOWEEKNUM(export?format_csv_gid_612082435[[#This Row],[Fecha]])</f>
        <v>21</v>
      </c>
      <c r="G267">
        <f>+YEAR(export?format_csv_gid_612082435[[#This Row],[Fecha]])</f>
        <v>2026</v>
      </c>
      <c r="H267" t="e">
        <f>+VLOOKUP(export?format_csv_gid_612082435[[#This Row],[Valor]],Listas!A:B,2,FALSE)</f>
        <v>#N/A</v>
      </c>
    </row>
    <row r="268" spans="1:8" hidden="1" x14ac:dyDescent="0.3">
      <c r="A268" t="s">
        <v>83</v>
      </c>
      <c r="B268" t="s">
        <v>84</v>
      </c>
      <c r="C268" t="s">
        <v>150</v>
      </c>
      <c r="D268" s="19">
        <v>46161</v>
      </c>
      <c r="E268" t="s">
        <v>77</v>
      </c>
      <c r="F268">
        <f>+_xlfn.ISOWEEKNUM(export?format_csv_gid_612082435[[#This Row],[Fecha]])</f>
        <v>21</v>
      </c>
      <c r="G268">
        <f>+YEAR(export?format_csv_gid_612082435[[#This Row],[Fecha]])</f>
        <v>2026</v>
      </c>
      <c r="H268" t="e">
        <f>+VLOOKUP(export?format_csv_gid_612082435[[#This Row],[Valor]],Listas!A:B,2,FALSE)</f>
        <v>#N/A</v>
      </c>
    </row>
    <row r="269" spans="1:8" hidden="1" x14ac:dyDescent="0.3">
      <c r="A269" t="s">
        <v>83</v>
      </c>
      <c r="B269" t="s">
        <v>84</v>
      </c>
      <c r="C269" t="s">
        <v>150</v>
      </c>
      <c r="D269" s="19">
        <v>46162</v>
      </c>
      <c r="E269" t="s">
        <v>77</v>
      </c>
      <c r="F269">
        <f>+_xlfn.ISOWEEKNUM(export?format_csv_gid_612082435[[#This Row],[Fecha]])</f>
        <v>21</v>
      </c>
      <c r="G269">
        <f>+YEAR(export?format_csv_gid_612082435[[#This Row],[Fecha]])</f>
        <v>2026</v>
      </c>
      <c r="H269" t="e">
        <f>+VLOOKUP(export?format_csv_gid_612082435[[#This Row],[Valor]],Listas!A:B,2,FALSE)</f>
        <v>#N/A</v>
      </c>
    </row>
    <row r="270" spans="1:8" hidden="1" x14ac:dyDescent="0.3">
      <c r="A270" t="s">
        <v>83</v>
      </c>
      <c r="B270" t="s">
        <v>84</v>
      </c>
      <c r="C270" t="s">
        <v>150</v>
      </c>
      <c r="D270" s="19">
        <v>46163</v>
      </c>
      <c r="E270" t="s">
        <v>77</v>
      </c>
      <c r="F270">
        <f>+_xlfn.ISOWEEKNUM(export?format_csv_gid_612082435[[#This Row],[Fecha]])</f>
        <v>21</v>
      </c>
      <c r="G270">
        <f>+YEAR(export?format_csv_gid_612082435[[#This Row],[Fecha]])</f>
        <v>2026</v>
      </c>
      <c r="H270" t="e">
        <f>+VLOOKUP(export?format_csv_gid_612082435[[#This Row],[Valor]],Listas!A:B,2,FALSE)</f>
        <v>#N/A</v>
      </c>
    </row>
    <row r="271" spans="1:8" hidden="1" x14ac:dyDescent="0.3">
      <c r="A271" t="s">
        <v>83</v>
      </c>
      <c r="B271" t="s">
        <v>84</v>
      </c>
      <c r="C271" t="s">
        <v>150</v>
      </c>
      <c r="D271" s="19">
        <v>46164</v>
      </c>
      <c r="E271" t="s">
        <v>77</v>
      </c>
      <c r="F271">
        <f>+_xlfn.ISOWEEKNUM(export?format_csv_gid_612082435[[#This Row],[Fecha]])</f>
        <v>21</v>
      </c>
      <c r="G271">
        <f>+YEAR(export?format_csv_gid_612082435[[#This Row],[Fecha]])</f>
        <v>2026</v>
      </c>
      <c r="H271" t="e">
        <f>+VLOOKUP(export?format_csv_gid_612082435[[#This Row],[Valor]],Listas!A:B,2,FALSE)</f>
        <v>#N/A</v>
      </c>
    </row>
    <row r="272" spans="1:8" hidden="1" x14ac:dyDescent="0.3">
      <c r="A272" t="s">
        <v>83</v>
      </c>
      <c r="B272" t="s">
        <v>84</v>
      </c>
      <c r="C272" t="s">
        <v>150</v>
      </c>
      <c r="D272" s="19">
        <v>46165</v>
      </c>
      <c r="E272" t="s">
        <v>77</v>
      </c>
      <c r="F272">
        <f>+_xlfn.ISOWEEKNUM(export?format_csv_gid_612082435[[#This Row],[Fecha]])</f>
        <v>21</v>
      </c>
      <c r="G272">
        <f>+YEAR(export?format_csv_gid_612082435[[#This Row],[Fecha]])</f>
        <v>2026</v>
      </c>
      <c r="H272" t="e">
        <f>+VLOOKUP(export?format_csv_gid_612082435[[#This Row],[Valor]],Listas!A:B,2,FALSE)</f>
        <v>#N/A</v>
      </c>
    </row>
    <row r="273" spans="1:8" hidden="1" x14ac:dyDescent="0.3">
      <c r="A273" t="s">
        <v>83</v>
      </c>
      <c r="B273" t="s">
        <v>84</v>
      </c>
      <c r="C273" t="s">
        <v>150</v>
      </c>
      <c r="D273" s="19">
        <v>46166</v>
      </c>
      <c r="E273" t="s">
        <v>77</v>
      </c>
      <c r="F273">
        <f>+_xlfn.ISOWEEKNUM(export?format_csv_gid_612082435[[#This Row],[Fecha]])</f>
        <v>21</v>
      </c>
      <c r="G273">
        <f>+YEAR(export?format_csv_gid_612082435[[#This Row],[Fecha]])</f>
        <v>2026</v>
      </c>
      <c r="H273" t="e">
        <f>+VLOOKUP(export?format_csv_gid_612082435[[#This Row],[Valor]],Listas!A:B,2,FALSE)</f>
        <v>#N/A</v>
      </c>
    </row>
    <row r="274" spans="1:8" hidden="1" x14ac:dyDescent="0.3">
      <c r="A274" t="s">
        <v>83</v>
      </c>
      <c r="B274" t="s">
        <v>84</v>
      </c>
      <c r="C274" t="s">
        <v>150</v>
      </c>
      <c r="D274" s="19">
        <v>46167</v>
      </c>
      <c r="E274" t="s">
        <v>77</v>
      </c>
      <c r="F274">
        <f>+_xlfn.ISOWEEKNUM(export?format_csv_gid_612082435[[#This Row],[Fecha]])</f>
        <v>22</v>
      </c>
      <c r="G274">
        <f>+YEAR(export?format_csv_gid_612082435[[#This Row],[Fecha]])</f>
        <v>2026</v>
      </c>
      <c r="H274" t="e">
        <f>+VLOOKUP(export?format_csv_gid_612082435[[#This Row],[Valor]],Listas!A:B,2,FALSE)</f>
        <v>#N/A</v>
      </c>
    </row>
    <row r="275" spans="1:8" hidden="1" x14ac:dyDescent="0.3">
      <c r="A275" t="s">
        <v>83</v>
      </c>
      <c r="B275" t="s">
        <v>84</v>
      </c>
      <c r="C275" t="s">
        <v>150</v>
      </c>
      <c r="D275" s="19">
        <v>46168</v>
      </c>
      <c r="E275" t="s">
        <v>77</v>
      </c>
      <c r="F275">
        <f>+_xlfn.ISOWEEKNUM(export?format_csv_gid_612082435[[#This Row],[Fecha]])</f>
        <v>22</v>
      </c>
      <c r="G275">
        <f>+YEAR(export?format_csv_gid_612082435[[#This Row],[Fecha]])</f>
        <v>2026</v>
      </c>
      <c r="H275" t="e">
        <f>+VLOOKUP(export?format_csv_gid_612082435[[#This Row],[Valor]],Listas!A:B,2,FALSE)</f>
        <v>#N/A</v>
      </c>
    </row>
    <row r="276" spans="1:8" hidden="1" x14ac:dyDescent="0.3">
      <c r="A276" t="s">
        <v>83</v>
      </c>
      <c r="B276" t="s">
        <v>84</v>
      </c>
      <c r="C276" t="s">
        <v>150</v>
      </c>
      <c r="D276" s="19">
        <v>46169</v>
      </c>
      <c r="E276" t="s">
        <v>77</v>
      </c>
      <c r="F276">
        <f>+_xlfn.ISOWEEKNUM(export?format_csv_gid_612082435[[#This Row],[Fecha]])</f>
        <v>22</v>
      </c>
      <c r="G276">
        <f>+YEAR(export?format_csv_gid_612082435[[#This Row],[Fecha]])</f>
        <v>2026</v>
      </c>
      <c r="H276" t="e">
        <f>+VLOOKUP(export?format_csv_gid_612082435[[#This Row],[Valor]],Listas!A:B,2,FALSE)</f>
        <v>#N/A</v>
      </c>
    </row>
    <row r="277" spans="1:8" hidden="1" x14ac:dyDescent="0.3">
      <c r="A277" t="s">
        <v>83</v>
      </c>
      <c r="B277" t="s">
        <v>84</v>
      </c>
      <c r="C277" t="s">
        <v>150</v>
      </c>
      <c r="D277" s="19">
        <v>46170</v>
      </c>
      <c r="E277" t="s">
        <v>77</v>
      </c>
      <c r="F277">
        <f>+_xlfn.ISOWEEKNUM(export?format_csv_gid_612082435[[#This Row],[Fecha]])</f>
        <v>22</v>
      </c>
      <c r="G277">
        <f>+YEAR(export?format_csv_gid_612082435[[#This Row],[Fecha]])</f>
        <v>2026</v>
      </c>
      <c r="H277" t="e">
        <f>+VLOOKUP(export?format_csv_gid_612082435[[#This Row],[Valor]],Listas!A:B,2,FALSE)</f>
        <v>#N/A</v>
      </c>
    </row>
    <row r="278" spans="1:8" hidden="1" x14ac:dyDescent="0.3">
      <c r="A278" t="s">
        <v>83</v>
      </c>
      <c r="B278" t="s">
        <v>84</v>
      </c>
      <c r="C278" t="s">
        <v>150</v>
      </c>
      <c r="D278" s="19">
        <v>46171</v>
      </c>
      <c r="E278" t="s">
        <v>77</v>
      </c>
      <c r="F278">
        <f>+_xlfn.ISOWEEKNUM(export?format_csv_gid_612082435[[#This Row],[Fecha]])</f>
        <v>22</v>
      </c>
      <c r="G278">
        <f>+YEAR(export?format_csv_gid_612082435[[#This Row],[Fecha]])</f>
        <v>2026</v>
      </c>
      <c r="H278" t="e">
        <f>+VLOOKUP(export?format_csv_gid_612082435[[#This Row],[Valor]],Listas!A:B,2,FALSE)</f>
        <v>#N/A</v>
      </c>
    </row>
    <row r="279" spans="1:8" hidden="1" x14ac:dyDescent="0.3">
      <c r="A279" t="s">
        <v>83</v>
      </c>
      <c r="B279" t="s">
        <v>84</v>
      </c>
      <c r="C279" t="s">
        <v>150</v>
      </c>
      <c r="D279" s="19">
        <v>46172</v>
      </c>
      <c r="E279" t="s">
        <v>77</v>
      </c>
      <c r="F279">
        <f>+_xlfn.ISOWEEKNUM(export?format_csv_gid_612082435[[#This Row],[Fecha]])</f>
        <v>22</v>
      </c>
      <c r="G279">
        <f>+YEAR(export?format_csv_gid_612082435[[#This Row],[Fecha]])</f>
        <v>2026</v>
      </c>
      <c r="H279" t="e">
        <f>+VLOOKUP(export?format_csv_gid_612082435[[#This Row],[Valor]],Listas!A:B,2,FALSE)</f>
        <v>#N/A</v>
      </c>
    </row>
    <row r="280" spans="1:8" hidden="1" x14ac:dyDescent="0.3">
      <c r="A280" t="s">
        <v>83</v>
      </c>
      <c r="B280" t="s">
        <v>84</v>
      </c>
      <c r="C280" t="s">
        <v>150</v>
      </c>
      <c r="D280" s="19">
        <v>46173</v>
      </c>
      <c r="E280" t="s">
        <v>77</v>
      </c>
      <c r="F280">
        <f>+_xlfn.ISOWEEKNUM(export?format_csv_gid_612082435[[#This Row],[Fecha]])</f>
        <v>22</v>
      </c>
      <c r="G280">
        <f>+YEAR(export?format_csv_gid_612082435[[#This Row],[Fecha]])</f>
        <v>2026</v>
      </c>
      <c r="H280" t="e">
        <f>+VLOOKUP(export?format_csv_gid_612082435[[#This Row],[Valor]],Listas!A:B,2,FALSE)</f>
        <v>#N/A</v>
      </c>
    </row>
    <row r="281" spans="1:8" hidden="1" x14ac:dyDescent="0.3">
      <c r="A281" t="s">
        <v>72</v>
      </c>
      <c r="B281" t="s">
        <v>84</v>
      </c>
      <c r="C281" t="s">
        <v>151</v>
      </c>
      <c r="D281" s="19">
        <v>46143</v>
      </c>
      <c r="E281" t="s">
        <v>75</v>
      </c>
      <c r="F281">
        <f>+_xlfn.ISOWEEKNUM(export?format_csv_gid_612082435[[#This Row],[Fecha]])</f>
        <v>18</v>
      </c>
      <c r="G281">
        <f>+YEAR(export?format_csv_gid_612082435[[#This Row],[Fecha]])</f>
        <v>2026</v>
      </c>
      <c r="H281" t="str">
        <f>+VLOOKUP(export?format_csv_gid_612082435[[#This Row],[Valor]],Listas!A:B,2,FALSE)</f>
        <v>No Remunerado</v>
      </c>
    </row>
    <row r="282" spans="1:8" hidden="1" x14ac:dyDescent="0.3">
      <c r="A282" t="s">
        <v>72</v>
      </c>
      <c r="B282" t="s">
        <v>84</v>
      </c>
      <c r="C282" t="s">
        <v>151</v>
      </c>
      <c r="D282" s="19">
        <v>46144</v>
      </c>
      <c r="E282" t="s">
        <v>113</v>
      </c>
      <c r="F282">
        <f>+_xlfn.ISOWEEKNUM(export?format_csv_gid_612082435[[#This Row],[Fecha]])</f>
        <v>18</v>
      </c>
      <c r="G282">
        <f>+YEAR(export?format_csv_gid_612082435[[#This Row],[Fecha]])</f>
        <v>2026</v>
      </c>
      <c r="H282" t="str">
        <f>+VLOOKUP(export?format_csv_gid_612082435[[#This Row],[Valor]],Listas!A:B,2,FALSE)</f>
        <v>D. Remunerado</v>
      </c>
    </row>
    <row r="283" spans="1:8" hidden="1" x14ac:dyDescent="0.3">
      <c r="A283" t="s">
        <v>72</v>
      </c>
      <c r="B283" t="s">
        <v>84</v>
      </c>
      <c r="C283" t="s">
        <v>151</v>
      </c>
      <c r="D283" s="19">
        <v>46145</v>
      </c>
      <c r="E283" t="s">
        <v>113</v>
      </c>
      <c r="F283">
        <f>+_xlfn.ISOWEEKNUM(export?format_csv_gid_612082435[[#This Row],[Fecha]])</f>
        <v>18</v>
      </c>
      <c r="G283">
        <f>+YEAR(export?format_csv_gid_612082435[[#This Row],[Fecha]])</f>
        <v>2026</v>
      </c>
      <c r="H283" t="str">
        <f>+VLOOKUP(export?format_csv_gid_612082435[[#This Row],[Valor]],Listas!A:B,2,FALSE)</f>
        <v>D. Remunerado</v>
      </c>
    </row>
    <row r="284" spans="1:8" hidden="1" x14ac:dyDescent="0.3">
      <c r="A284" t="s">
        <v>72</v>
      </c>
      <c r="B284" t="s">
        <v>84</v>
      </c>
      <c r="C284" t="s">
        <v>151</v>
      </c>
      <c r="D284" s="19">
        <v>46146</v>
      </c>
      <c r="E284" t="s">
        <v>113</v>
      </c>
      <c r="F284">
        <f>+_xlfn.ISOWEEKNUM(export?format_csv_gid_612082435[[#This Row],[Fecha]])</f>
        <v>19</v>
      </c>
      <c r="G284">
        <f>+YEAR(export?format_csv_gid_612082435[[#This Row],[Fecha]])</f>
        <v>2026</v>
      </c>
      <c r="H284" t="str">
        <f>+VLOOKUP(export?format_csv_gid_612082435[[#This Row],[Valor]],Listas!A:B,2,FALSE)</f>
        <v>D. Remunerado</v>
      </c>
    </row>
    <row r="285" spans="1:8" hidden="1" x14ac:dyDescent="0.3">
      <c r="A285" t="s">
        <v>72</v>
      </c>
      <c r="B285" t="s">
        <v>84</v>
      </c>
      <c r="C285" t="s">
        <v>151</v>
      </c>
      <c r="D285" s="19">
        <v>46147</v>
      </c>
      <c r="E285" t="s">
        <v>76</v>
      </c>
      <c r="F285">
        <f>+_xlfn.ISOWEEKNUM(export?format_csv_gid_612082435[[#This Row],[Fecha]])</f>
        <v>19</v>
      </c>
      <c r="G285">
        <f>+YEAR(export?format_csv_gid_612082435[[#This Row],[Fecha]])</f>
        <v>2026</v>
      </c>
      <c r="H285" t="str">
        <f>+VLOOKUP(export?format_csv_gid_612082435[[#This Row],[Valor]],Listas!A:B,2,FALSE)</f>
        <v>Asistencia</v>
      </c>
    </row>
    <row r="286" spans="1:8" hidden="1" x14ac:dyDescent="0.3">
      <c r="A286" t="s">
        <v>72</v>
      </c>
      <c r="B286" t="s">
        <v>84</v>
      </c>
      <c r="C286" t="s">
        <v>151</v>
      </c>
      <c r="D286" s="19">
        <v>46148</v>
      </c>
      <c r="E286" t="s">
        <v>76</v>
      </c>
      <c r="F286">
        <f>+_xlfn.ISOWEEKNUM(export?format_csv_gid_612082435[[#This Row],[Fecha]])</f>
        <v>19</v>
      </c>
      <c r="G286">
        <f>+YEAR(export?format_csv_gid_612082435[[#This Row],[Fecha]])</f>
        <v>2026</v>
      </c>
      <c r="H286" t="str">
        <f>+VLOOKUP(export?format_csv_gid_612082435[[#This Row],[Valor]],Listas!A:B,2,FALSE)</f>
        <v>Asistencia</v>
      </c>
    </row>
    <row r="287" spans="1:8" hidden="1" x14ac:dyDescent="0.3">
      <c r="A287" t="s">
        <v>72</v>
      </c>
      <c r="B287" t="s">
        <v>84</v>
      </c>
      <c r="C287" t="s">
        <v>151</v>
      </c>
      <c r="D287" s="19">
        <v>46149</v>
      </c>
      <c r="E287" t="s">
        <v>76</v>
      </c>
      <c r="F287">
        <f>+_xlfn.ISOWEEKNUM(export?format_csv_gid_612082435[[#This Row],[Fecha]])</f>
        <v>19</v>
      </c>
      <c r="G287">
        <f>+YEAR(export?format_csv_gid_612082435[[#This Row],[Fecha]])</f>
        <v>2026</v>
      </c>
      <c r="H287" t="str">
        <f>+VLOOKUP(export?format_csv_gid_612082435[[#This Row],[Valor]],Listas!A:B,2,FALSE)</f>
        <v>Asistencia</v>
      </c>
    </row>
    <row r="288" spans="1:8" hidden="1" x14ac:dyDescent="0.3">
      <c r="A288" t="s">
        <v>72</v>
      </c>
      <c r="B288" t="s">
        <v>84</v>
      </c>
      <c r="C288" t="s">
        <v>151</v>
      </c>
      <c r="D288" s="19">
        <v>46150</v>
      </c>
      <c r="E288" t="s">
        <v>76</v>
      </c>
      <c r="F288">
        <f>+_xlfn.ISOWEEKNUM(export?format_csv_gid_612082435[[#This Row],[Fecha]])</f>
        <v>19</v>
      </c>
      <c r="G288">
        <f>+YEAR(export?format_csv_gid_612082435[[#This Row],[Fecha]])</f>
        <v>2026</v>
      </c>
      <c r="H288" t="str">
        <f>+VLOOKUP(export?format_csv_gid_612082435[[#This Row],[Valor]],Listas!A:B,2,FALSE)</f>
        <v>Asistencia</v>
      </c>
    </row>
    <row r="289" spans="1:8" hidden="1" x14ac:dyDescent="0.3">
      <c r="A289" t="s">
        <v>72</v>
      </c>
      <c r="B289" t="s">
        <v>84</v>
      </c>
      <c r="C289" t="s">
        <v>151</v>
      </c>
      <c r="D289" s="19">
        <v>46151</v>
      </c>
      <c r="E289" t="s">
        <v>76</v>
      </c>
      <c r="F289">
        <f>+_xlfn.ISOWEEKNUM(export?format_csv_gid_612082435[[#This Row],[Fecha]])</f>
        <v>19</v>
      </c>
      <c r="G289">
        <f>+YEAR(export?format_csv_gid_612082435[[#This Row],[Fecha]])</f>
        <v>2026</v>
      </c>
      <c r="H289" t="str">
        <f>+VLOOKUP(export?format_csv_gid_612082435[[#This Row],[Valor]],Listas!A:B,2,FALSE)</f>
        <v>Asistencia</v>
      </c>
    </row>
    <row r="290" spans="1:8" hidden="1" x14ac:dyDescent="0.3">
      <c r="A290" t="s">
        <v>72</v>
      </c>
      <c r="B290" t="s">
        <v>84</v>
      </c>
      <c r="C290" t="s">
        <v>151</v>
      </c>
      <c r="D290" s="19">
        <v>46152</v>
      </c>
      <c r="E290" t="s">
        <v>75</v>
      </c>
      <c r="F290">
        <f>+_xlfn.ISOWEEKNUM(export?format_csv_gid_612082435[[#This Row],[Fecha]])</f>
        <v>19</v>
      </c>
      <c r="G290">
        <f>+YEAR(export?format_csv_gid_612082435[[#This Row],[Fecha]])</f>
        <v>2026</v>
      </c>
      <c r="H290" t="str">
        <f>+VLOOKUP(export?format_csv_gid_612082435[[#This Row],[Valor]],Listas!A:B,2,FALSE)</f>
        <v>No Remunerado</v>
      </c>
    </row>
    <row r="291" spans="1:8" hidden="1" x14ac:dyDescent="0.3">
      <c r="A291" t="s">
        <v>72</v>
      </c>
      <c r="B291" t="s">
        <v>84</v>
      </c>
      <c r="C291" t="s">
        <v>151</v>
      </c>
      <c r="D291" s="19">
        <v>46153</v>
      </c>
      <c r="E291" t="s">
        <v>113</v>
      </c>
      <c r="F291">
        <f>+_xlfn.ISOWEEKNUM(export?format_csv_gid_612082435[[#This Row],[Fecha]])</f>
        <v>20</v>
      </c>
      <c r="G291">
        <f>+YEAR(export?format_csv_gid_612082435[[#This Row],[Fecha]])</f>
        <v>2026</v>
      </c>
      <c r="H291" t="str">
        <f>+VLOOKUP(export?format_csv_gid_612082435[[#This Row],[Valor]],Listas!A:B,2,FALSE)</f>
        <v>D. Remunerado</v>
      </c>
    </row>
    <row r="292" spans="1:8" hidden="1" x14ac:dyDescent="0.3">
      <c r="A292" t="s">
        <v>72</v>
      </c>
      <c r="B292" t="s">
        <v>84</v>
      </c>
      <c r="C292" t="s">
        <v>151</v>
      </c>
      <c r="D292" s="19">
        <v>46154</v>
      </c>
      <c r="E292" t="s">
        <v>75</v>
      </c>
      <c r="F292">
        <f>+_xlfn.ISOWEEKNUM(export?format_csv_gid_612082435[[#This Row],[Fecha]])</f>
        <v>20</v>
      </c>
      <c r="G292">
        <f>+YEAR(export?format_csv_gid_612082435[[#This Row],[Fecha]])</f>
        <v>2026</v>
      </c>
      <c r="H292" t="str">
        <f>+VLOOKUP(export?format_csv_gid_612082435[[#This Row],[Valor]],Listas!A:B,2,FALSE)</f>
        <v>No Remunerado</v>
      </c>
    </row>
    <row r="293" spans="1:8" hidden="1" x14ac:dyDescent="0.3">
      <c r="A293" t="s">
        <v>72</v>
      </c>
      <c r="B293" t="s">
        <v>84</v>
      </c>
      <c r="C293" t="s">
        <v>151</v>
      </c>
      <c r="D293" s="19">
        <v>46155</v>
      </c>
      <c r="E293" t="s">
        <v>75</v>
      </c>
      <c r="F293">
        <f>+_xlfn.ISOWEEKNUM(export?format_csv_gid_612082435[[#This Row],[Fecha]])</f>
        <v>20</v>
      </c>
      <c r="G293">
        <f>+YEAR(export?format_csv_gid_612082435[[#This Row],[Fecha]])</f>
        <v>2026</v>
      </c>
      <c r="H293" t="str">
        <f>+VLOOKUP(export?format_csv_gid_612082435[[#This Row],[Valor]],Listas!A:B,2,FALSE)</f>
        <v>No Remunerado</v>
      </c>
    </row>
    <row r="294" spans="1:8" hidden="1" x14ac:dyDescent="0.3">
      <c r="A294" t="s">
        <v>72</v>
      </c>
      <c r="B294" t="s">
        <v>84</v>
      </c>
      <c r="C294" t="s">
        <v>151</v>
      </c>
      <c r="D294" s="19">
        <v>46156</v>
      </c>
      <c r="E294" t="s">
        <v>76</v>
      </c>
      <c r="F294">
        <f>+_xlfn.ISOWEEKNUM(export?format_csv_gid_612082435[[#This Row],[Fecha]])</f>
        <v>20</v>
      </c>
      <c r="G294">
        <f>+YEAR(export?format_csv_gid_612082435[[#This Row],[Fecha]])</f>
        <v>2026</v>
      </c>
      <c r="H294" t="str">
        <f>+VLOOKUP(export?format_csv_gid_612082435[[#This Row],[Valor]],Listas!A:B,2,FALSE)</f>
        <v>Asistencia</v>
      </c>
    </row>
    <row r="295" spans="1:8" hidden="1" x14ac:dyDescent="0.3">
      <c r="A295" t="s">
        <v>72</v>
      </c>
      <c r="B295" t="s">
        <v>84</v>
      </c>
      <c r="C295" t="s">
        <v>151</v>
      </c>
      <c r="D295" s="19">
        <v>46157</v>
      </c>
      <c r="E295" t="s">
        <v>76</v>
      </c>
      <c r="F295">
        <f>+_xlfn.ISOWEEKNUM(export?format_csv_gid_612082435[[#This Row],[Fecha]])</f>
        <v>20</v>
      </c>
      <c r="G295">
        <f>+YEAR(export?format_csv_gid_612082435[[#This Row],[Fecha]])</f>
        <v>2026</v>
      </c>
      <c r="H295" t="str">
        <f>+VLOOKUP(export?format_csv_gid_612082435[[#This Row],[Valor]],Listas!A:B,2,FALSE)</f>
        <v>Asistencia</v>
      </c>
    </row>
    <row r="296" spans="1:8" hidden="1" x14ac:dyDescent="0.3">
      <c r="A296" t="s">
        <v>72</v>
      </c>
      <c r="B296" t="s">
        <v>84</v>
      </c>
      <c r="C296" t="s">
        <v>151</v>
      </c>
      <c r="D296" s="19">
        <v>46158</v>
      </c>
      <c r="E296" t="s">
        <v>77</v>
      </c>
      <c r="F296">
        <f>+_xlfn.ISOWEEKNUM(export?format_csv_gid_612082435[[#This Row],[Fecha]])</f>
        <v>20</v>
      </c>
      <c r="G296">
        <f>+YEAR(export?format_csv_gid_612082435[[#This Row],[Fecha]])</f>
        <v>2026</v>
      </c>
      <c r="H296" t="e">
        <f>+VLOOKUP(export?format_csv_gid_612082435[[#This Row],[Valor]],Listas!A:B,2,FALSE)</f>
        <v>#N/A</v>
      </c>
    </row>
    <row r="297" spans="1:8" hidden="1" x14ac:dyDescent="0.3">
      <c r="A297" t="s">
        <v>72</v>
      </c>
      <c r="B297" t="s">
        <v>84</v>
      </c>
      <c r="C297" t="s">
        <v>151</v>
      </c>
      <c r="D297" s="19">
        <v>46159</v>
      </c>
      <c r="E297" t="s">
        <v>77</v>
      </c>
      <c r="F297">
        <f>+_xlfn.ISOWEEKNUM(export?format_csv_gid_612082435[[#This Row],[Fecha]])</f>
        <v>20</v>
      </c>
      <c r="G297">
        <f>+YEAR(export?format_csv_gid_612082435[[#This Row],[Fecha]])</f>
        <v>2026</v>
      </c>
      <c r="H297" t="e">
        <f>+VLOOKUP(export?format_csv_gid_612082435[[#This Row],[Valor]],Listas!A:B,2,FALSE)</f>
        <v>#N/A</v>
      </c>
    </row>
    <row r="298" spans="1:8" hidden="1" x14ac:dyDescent="0.3">
      <c r="A298" t="s">
        <v>72</v>
      </c>
      <c r="B298" t="s">
        <v>84</v>
      </c>
      <c r="C298" t="s">
        <v>151</v>
      </c>
      <c r="D298" s="19">
        <v>46160</v>
      </c>
      <c r="E298" t="s">
        <v>77</v>
      </c>
      <c r="F298">
        <f>+_xlfn.ISOWEEKNUM(export?format_csv_gid_612082435[[#This Row],[Fecha]])</f>
        <v>21</v>
      </c>
      <c r="G298">
        <f>+YEAR(export?format_csv_gid_612082435[[#This Row],[Fecha]])</f>
        <v>2026</v>
      </c>
      <c r="H298" t="e">
        <f>+VLOOKUP(export?format_csv_gid_612082435[[#This Row],[Valor]],Listas!A:B,2,FALSE)</f>
        <v>#N/A</v>
      </c>
    </row>
    <row r="299" spans="1:8" hidden="1" x14ac:dyDescent="0.3">
      <c r="A299" t="s">
        <v>72</v>
      </c>
      <c r="B299" t="s">
        <v>84</v>
      </c>
      <c r="C299" t="s">
        <v>151</v>
      </c>
      <c r="D299" s="19">
        <v>46161</v>
      </c>
      <c r="E299" t="s">
        <v>77</v>
      </c>
      <c r="F299">
        <f>+_xlfn.ISOWEEKNUM(export?format_csv_gid_612082435[[#This Row],[Fecha]])</f>
        <v>21</v>
      </c>
      <c r="G299">
        <f>+YEAR(export?format_csv_gid_612082435[[#This Row],[Fecha]])</f>
        <v>2026</v>
      </c>
      <c r="H299" t="e">
        <f>+VLOOKUP(export?format_csv_gid_612082435[[#This Row],[Valor]],Listas!A:B,2,FALSE)</f>
        <v>#N/A</v>
      </c>
    </row>
    <row r="300" spans="1:8" hidden="1" x14ac:dyDescent="0.3">
      <c r="A300" t="s">
        <v>72</v>
      </c>
      <c r="B300" t="s">
        <v>84</v>
      </c>
      <c r="C300" t="s">
        <v>151</v>
      </c>
      <c r="D300" s="19">
        <v>46162</v>
      </c>
      <c r="E300" t="s">
        <v>77</v>
      </c>
      <c r="F300">
        <f>+_xlfn.ISOWEEKNUM(export?format_csv_gid_612082435[[#This Row],[Fecha]])</f>
        <v>21</v>
      </c>
      <c r="G300">
        <f>+YEAR(export?format_csv_gid_612082435[[#This Row],[Fecha]])</f>
        <v>2026</v>
      </c>
      <c r="H300" t="e">
        <f>+VLOOKUP(export?format_csv_gid_612082435[[#This Row],[Valor]],Listas!A:B,2,FALSE)</f>
        <v>#N/A</v>
      </c>
    </row>
    <row r="301" spans="1:8" hidden="1" x14ac:dyDescent="0.3">
      <c r="A301" t="s">
        <v>72</v>
      </c>
      <c r="B301" t="s">
        <v>84</v>
      </c>
      <c r="C301" t="s">
        <v>151</v>
      </c>
      <c r="D301" s="19">
        <v>46163</v>
      </c>
      <c r="E301" t="s">
        <v>77</v>
      </c>
      <c r="F301">
        <f>+_xlfn.ISOWEEKNUM(export?format_csv_gid_612082435[[#This Row],[Fecha]])</f>
        <v>21</v>
      </c>
      <c r="G301">
        <f>+YEAR(export?format_csv_gid_612082435[[#This Row],[Fecha]])</f>
        <v>2026</v>
      </c>
      <c r="H301" t="e">
        <f>+VLOOKUP(export?format_csv_gid_612082435[[#This Row],[Valor]],Listas!A:B,2,FALSE)</f>
        <v>#N/A</v>
      </c>
    </row>
    <row r="302" spans="1:8" hidden="1" x14ac:dyDescent="0.3">
      <c r="A302" t="s">
        <v>72</v>
      </c>
      <c r="B302" t="s">
        <v>84</v>
      </c>
      <c r="C302" t="s">
        <v>151</v>
      </c>
      <c r="D302" s="19">
        <v>46164</v>
      </c>
      <c r="E302" t="s">
        <v>77</v>
      </c>
      <c r="F302">
        <f>+_xlfn.ISOWEEKNUM(export?format_csv_gid_612082435[[#This Row],[Fecha]])</f>
        <v>21</v>
      </c>
      <c r="G302">
        <f>+YEAR(export?format_csv_gid_612082435[[#This Row],[Fecha]])</f>
        <v>2026</v>
      </c>
      <c r="H302" t="e">
        <f>+VLOOKUP(export?format_csv_gid_612082435[[#This Row],[Valor]],Listas!A:B,2,FALSE)</f>
        <v>#N/A</v>
      </c>
    </row>
    <row r="303" spans="1:8" hidden="1" x14ac:dyDescent="0.3">
      <c r="A303" t="s">
        <v>72</v>
      </c>
      <c r="B303" t="s">
        <v>84</v>
      </c>
      <c r="C303" t="s">
        <v>151</v>
      </c>
      <c r="D303" s="19">
        <v>46165</v>
      </c>
      <c r="E303" t="s">
        <v>77</v>
      </c>
      <c r="F303">
        <f>+_xlfn.ISOWEEKNUM(export?format_csv_gid_612082435[[#This Row],[Fecha]])</f>
        <v>21</v>
      </c>
      <c r="G303">
        <f>+YEAR(export?format_csv_gid_612082435[[#This Row],[Fecha]])</f>
        <v>2026</v>
      </c>
      <c r="H303" t="e">
        <f>+VLOOKUP(export?format_csv_gid_612082435[[#This Row],[Valor]],Listas!A:B,2,FALSE)</f>
        <v>#N/A</v>
      </c>
    </row>
    <row r="304" spans="1:8" hidden="1" x14ac:dyDescent="0.3">
      <c r="A304" t="s">
        <v>72</v>
      </c>
      <c r="B304" t="s">
        <v>84</v>
      </c>
      <c r="C304" t="s">
        <v>151</v>
      </c>
      <c r="D304" s="19">
        <v>46166</v>
      </c>
      <c r="E304" t="s">
        <v>77</v>
      </c>
      <c r="F304">
        <f>+_xlfn.ISOWEEKNUM(export?format_csv_gid_612082435[[#This Row],[Fecha]])</f>
        <v>21</v>
      </c>
      <c r="G304">
        <f>+YEAR(export?format_csv_gid_612082435[[#This Row],[Fecha]])</f>
        <v>2026</v>
      </c>
      <c r="H304" t="e">
        <f>+VLOOKUP(export?format_csv_gid_612082435[[#This Row],[Valor]],Listas!A:B,2,FALSE)</f>
        <v>#N/A</v>
      </c>
    </row>
    <row r="305" spans="1:8" hidden="1" x14ac:dyDescent="0.3">
      <c r="A305" t="s">
        <v>72</v>
      </c>
      <c r="B305" t="s">
        <v>84</v>
      </c>
      <c r="C305" t="s">
        <v>151</v>
      </c>
      <c r="D305" s="19">
        <v>46167</v>
      </c>
      <c r="E305" t="s">
        <v>77</v>
      </c>
      <c r="F305">
        <f>+_xlfn.ISOWEEKNUM(export?format_csv_gid_612082435[[#This Row],[Fecha]])</f>
        <v>22</v>
      </c>
      <c r="G305">
        <f>+YEAR(export?format_csv_gid_612082435[[#This Row],[Fecha]])</f>
        <v>2026</v>
      </c>
      <c r="H305" t="e">
        <f>+VLOOKUP(export?format_csv_gid_612082435[[#This Row],[Valor]],Listas!A:B,2,FALSE)</f>
        <v>#N/A</v>
      </c>
    </row>
    <row r="306" spans="1:8" hidden="1" x14ac:dyDescent="0.3">
      <c r="A306" t="s">
        <v>72</v>
      </c>
      <c r="B306" t="s">
        <v>84</v>
      </c>
      <c r="C306" t="s">
        <v>151</v>
      </c>
      <c r="D306" s="19">
        <v>46168</v>
      </c>
      <c r="E306" t="s">
        <v>77</v>
      </c>
      <c r="F306">
        <f>+_xlfn.ISOWEEKNUM(export?format_csv_gid_612082435[[#This Row],[Fecha]])</f>
        <v>22</v>
      </c>
      <c r="G306">
        <f>+YEAR(export?format_csv_gid_612082435[[#This Row],[Fecha]])</f>
        <v>2026</v>
      </c>
      <c r="H306" t="e">
        <f>+VLOOKUP(export?format_csv_gid_612082435[[#This Row],[Valor]],Listas!A:B,2,FALSE)</f>
        <v>#N/A</v>
      </c>
    </row>
    <row r="307" spans="1:8" hidden="1" x14ac:dyDescent="0.3">
      <c r="A307" t="s">
        <v>72</v>
      </c>
      <c r="B307" t="s">
        <v>84</v>
      </c>
      <c r="C307" t="s">
        <v>151</v>
      </c>
      <c r="D307" s="19">
        <v>46169</v>
      </c>
      <c r="E307" t="s">
        <v>77</v>
      </c>
      <c r="F307">
        <f>+_xlfn.ISOWEEKNUM(export?format_csv_gid_612082435[[#This Row],[Fecha]])</f>
        <v>22</v>
      </c>
      <c r="G307">
        <f>+YEAR(export?format_csv_gid_612082435[[#This Row],[Fecha]])</f>
        <v>2026</v>
      </c>
      <c r="H307" t="e">
        <f>+VLOOKUP(export?format_csv_gid_612082435[[#This Row],[Valor]],Listas!A:B,2,FALSE)</f>
        <v>#N/A</v>
      </c>
    </row>
    <row r="308" spans="1:8" hidden="1" x14ac:dyDescent="0.3">
      <c r="A308" t="s">
        <v>72</v>
      </c>
      <c r="B308" t="s">
        <v>84</v>
      </c>
      <c r="C308" t="s">
        <v>151</v>
      </c>
      <c r="D308" s="19">
        <v>46170</v>
      </c>
      <c r="E308" t="s">
        <v>77</v>
      </c>
      <c r="F308">
        <f>+_xlfn.ISOWEEKNUM(export?format_csv_gid_612082435[[#This Row],[Fecha]])</f>
        <v>22</v>
      </c>
      <c r="G308">
        <f>+YEAR(export?format_csv_gid_612082435[[#This Row],[Fecha]])</f>
        <v>2026</v>
      </c>
      <c r="H308" t="e">
        <f>+VLOOKUP(export?format_csv_gid_612082435[[#This Row],[Valor]],Listas!A:B,2,FALSE)</f>
        <v>#N/A</v>
      </c>
    </row>
    <row r="309" spans="1:8" hidden="1" x14ac:dyDescent="0.3">
      <c r="A309" t="s">
        <v>72</v>
      </c>
      <c r="B309" t="s">
        <v>84</v>
      </c>
      <c r="C309" t="s">
        <v>151</v>
      </c>
      <c r="D309" s="19">
        <v>46171</v>
      </c>
      <c r="E309" t="s">
        <v>77</v>
      </c>
      <c r="F309">
        <f>+_xlfn.ISOWEEKNUM(export?format_csv_gid_612082435[[#This Row],[Fecha]])</f>
        <v>22</v>
      </c>
      <c r="G309">
        <f>+YEAR(export?format_csv_gid_612082435[[#This Row],[Fecha]])</f>
        <v>2026</v>
      </c>
      <c r="H309" t="e">
        <f>+VLOOKUP(export?format_csv_gid_612082435[[#This Row],[Valor]],Listas!A:B,2,FALSE)</f>
        <v>#N/A</v>
      </c>
    </row>
    <row r="310" spans="1:8" hidden="1" x14ac:dyDescent="0.3">
      <c r="A310" t="s">
        <v>72</v>
      </c>
      <c r="B310" t="s">
        <v>84</v>
      </c>
      <c r="C310" t="s">
        <v>151</v>
      </c>
      <c r="D310" s="19">
        <v>46172</v>
      </c>
      <c r="E310" t="s">
        <v>77</v>
      </c>
      <c r="F310">
        <f>+_xlfn.ISOWEEKNUM(export?format_csv_gid_612082435[[#This Row],[Fecha]])</f>
        <v>22</v>
      </c>
      <c r="G310">
        <f>+YEAR(export?format_csv_gid_612082435[[#This Row],[Fecha]])</f>
        <v>2026</v>
      </c>
      <c r="H310" t="e">
        <f>+VLOOKUP(export?format_csv_gid_612082435[[#This Row],[Valor]],Listas!A:B,2,FALSE)</f>
        <v>#N/A</v>
      </c>
    </row>
    <row r="311" spans="1:8" hidden="1" x14ac:dyDescent="0.3">
      <c r="A311" t="s">
        <v>72</v>
      </c>
      <c r="B311" t="s">
        <v>84</v>
      </c>
      <c r="C311" t="s">
        <v>151</v>
      </c>
      <c r="D311" s="19">
        <v>46173</v>
      </c>
      <c r="E311" t="s">
        <v>77</v>
      </c>
      <c r="F311">
        <f>+_xlfn.ISOWEEKNUM(export?format_csv_gid_612082435[[#This Row],[Fecha]])</f>
        <v>22</v>
      </c>
      <c r="G311">
        <f>+YEAR(export?format_csv_gid_612082435[[#This Row],[Fecha]])</f>
        <v>2026</v>
      </c>
      <c r="H311" t="e">
        <f>+VLOOKUP(export?format_csv_gid_612082435[[#This Row],[Valor]],Listas!A:B,2,FALSE)</f>
        <v>#N/A</v>
      </c>
    </row>
    <row r="312" spans="1:8" hidden="1" x14ac:dyDescent="0.3">
      <c r="A312" t="s">
        <v>83</v>
      </c>
      <c r="B312" t="s">
        <v>79</v>
      </c>
      <c r="C312" t="s">
        <v>86</v>
      </c>
      <c r="D312" s="19">
        <v>46143</v>
      </c>
      <c r="E312" t="s">
        <v>85</v>
      </c>
      <c r="F312">
        <f>+_xlfn.ISOWEEKNUM(export?format_csv_gid_612082435[[#This Row],[Fecha]])</f>
        <v>18</v>
      </c>
      <c r="G312">
        <f>+YEAR(export?format_csv_gid_612082435[[#This Row],[Fecha]])</f>
        <v>2026</v>
      </c>
      <c r="H312" t="e">
        <f>+VLOOKUP(export?format_csv_gid_612082435[[#This Row],[Valor]],Listas!A:B,2,FALSE)</f>
        <v>#N/A</v>
      </c>
    </row>
    <row r="313" spans="1:8" hidden="1" x14ac:dyDescent="0.3">
      <c r="A313" t="s">
        <v>83</v>
      </c>
      <c r="B313" t="s">
        <v>79</v>
      </c>
      <c r="C313" t="s">
        <v>86</v>
      </c>
      <c r="D313" s="19">
        <v>46144</v>
      </c>
      <c r="E313" t="s">
        <v>85</v>
      </c>
      <c r="F313">
        <f>+_xlfn.ISOWEEKNUM(export?format_csv_gid_612082435[[#This Row],[Fecha]])</f>
        <v>18</v>
      </c>
      <c r="G313">
        <f>+YEAR(export?format_csv_gid_612082435[[#This Row],[Fecha]])</f>
        <v>2026</v>
      </c>
      <c r="H313" t="e">
        <f>+VLOOKUP(export?format_csv_gid_612082435[[#This Row],[Valor]],Listas!A:B,2,FALSE)</f>
        <v>#N/A</v>
      </c>
    </row>
    <row r="314" spans="1:8" hidden="1" x14ac:dyDescent="0.3">
      <c r="A314" t="s">
        <v>83</v>
      </c>
      <c r="B314" t="s">
        <v>79</v>
      </c>
      <c r="C314" t="s">
        <v>86</v>
      </c>
      <c r="D314" s="19">
        <v>46145</v>
      </c>
      <c r="E314" t="s">
        <v>85</v>
      </c>
      <c r="F314">
        <f>+_xlfn.ISOWEEKNUM(export?format_csv_gid_612082435[[#This Row],[Fecha]])</f>
        <v>18</v>
      </c>
      <c r="G314">
        <f>+YEAR(export?format_csv_gid_612082435[[#This Row],[Fecha]])</f>
        <v>2026</v>
      </c>
      <c r="H314" t="e">
        <f>+VLOOKUP(export?format_csv_gid_612082435[[#This Row],[Valor]],Listas!A:B,2,FALSE)</f>
        <v>#N/A</v>
      </c>
    </row>
    <row r="315" spans="1:8" hidden="1" x14ac:dyDescent="0.3">
      <c r="A315" t="s">
        <v>83</v>
      </c>
      <c r="B315" t="s">
        <v>79</v>
      </c>
      <c r="C315" t="s">
        <v>86</v>
      </c>
      <c r="D315" s="19">
        <v>46146</v>
      </c>
      <c r="E315" t="s">
        <v>85</v>
      </c>
      <c r="F315">
        <f>+_xlfn.ISOWEEKNUM(export?format_csv_gid_612082435[[#This Row],[Fecha]])</f>
        <v>19</v>
      </c>
      <c r="G315">
        <f>+YEAR(export?format_csv_gid_612082435[[#This Row],[Fecha]])</f>
        <v>2026</v>
      </c>
      <c r="H315" t="e">
        <f>+VLOOKUP(export?format_csv_gid_612082435[[#This Row],[Valor]],Listas!A:B,2,FALSE)</f>
        <v>#N/A</v>
      </c>
    </row>
    <row r="316" spans="1:8" hidden="1" x14ac:dyDescent="0.3">
      <c r="A316" t="s">
        <v>83</v>
      </c>
      <c r="B316" t="s">
        <v>79</v>
      </c>
      <c r="C316" t="s">
        <v>86</v>
      </c>
      <c r="D316" s="19">
        <v>46147</v>
      </c>
      <c r="E316" t="s">
        <v>85</v>
      </c>
      <c r="F316">
        <f>+_xlfn.ISOWEEKNUM(export?format_csv_gid_612082435[[#This Row],[Fecha]])</f>
        <v>19</v>
      </c>
      <c r="G316">
        <f>+YEAR(export?format_csv_gid_612082435[[#This Row],[Fecha]])</f>
        <v>2026</v>
      </c>
      <c r="H316" t="e">
        <f>+VLOOKUP(export?format_csv_gid_612082435[[#This Row],[Valor]],Listas!A:B,2,FALSE)</f>
        <v>#N/A</v>
      </c>
    </row>
    <row r="317" spans="1:8" hidden="1" x14ac:dyDescent="0.3">
      <c r="A317" t="s">
        <v>83</v>
      </c>
      <c r="B317" t="s">
        <v>79</v>
      </c>
      <c r="C317" t="s">
        <v>86</v>
      </c>
      <c r="D317" s="19">
        <v>46148</v>
      </c>
      <c r="E317" t="s">
        <v>85</v>
      </c>
      <c r="F317">
        <f>+_xlfn.ISOWEEKNUM(export?format_csv_gid_612082435[[#This Row],[Fecha]])</f>
        <v>19</v>
      </c>
      <c r="G317">
        <f>+YEAR(export?format_csv_gid_612082435[[#This Row],[Fecha]])</f>
        <v>2026</v>
      </c>
      <c r="H317" t="e">
        <f>+VLOOKUP(export?format_csv_gid_612082435[[#This Row],[Valor]],Listas!A:B,2,FALSE)</f>
        <v>#N/A</v>
      </c>
    </row>
    <row r="318" spans="1:8" hidden="1" x14ac:dyDescent="0.3">
      <c r="A318" t="s">
        <v>83</v>
      </c>
      <c r="B318" t="s">
        <v>79</v>
      </c>
      <c r="C318" t="s">
        <v>86</v>
      </c>
      <c r="D318" s="19">
        <v>46149</v>
      </c>
      <c r="E318" t="s">
        <v>85</v>
      </c>
      <c r="F318">
        <f>+_xlfn.ISOWEEKNUM(export?format_csv_gid_612082435[[#This Row],[Fecha]])</f>
        <v>19</v>
      </c>
      <c r="G318">
        <f>+YEAR(export?format_csv_gid_612082435[[#This Row],[Fecha]])</f>
        <v>2026</v>
      </c>
      <c r="H318" t="e">
        <f>+VLOOKUP(export?format_csv_gid_612082435[[#This Row],[Valor]],Listas!A:B,2,FALSE)</f>
        <v>#N/A</v>
      </c>
    </row>
    <row r="319" spans="1:8" hidden="1" x14ac:dyDescent="0.3">
      <c r="A319" t="s">
        <v>83</v>
      </c>
      <c r="B319" t="s">
        <v>79</v>
      </c>
      <c r="C319" t="s">
        <v>86</v>
      </c>
      <c r="D319" s="19">
        <v>46150</v>
      </c>
      <c r="E319" t="s">
        <v>85</v>
      </c>
      <c r="F319">
        <f>+_xlfn.ISOWEEKNUM(export?format_csv_gid_612082435[[#This Row],[Fecha]])</f>
        <v>19</v>
      </c>
      <c r="G319">
        <f>+YEAR(export?format_csv_gid_612082435[[#This Row],[Fecha]])</f>
        <v>2026</v>
      </c>
      <c r="H319" t="e">
        <f>+VLOOKUP(export?format_csv_gid_612082435[[#This Row],[Valor]],Listas!A:B,2,FALSE)</f>
        <v>#N/A</v>
      </c>
    </row>
    <row r="320" spans="1:8" hidden="1" x14ac:dyDescent="0.3">
      <c r="A320" t="s">
        <v>83</v>
      </c>
      <c r="B320" t="s">
        <v>79</v>
      </c>
      <c r="C320" t="s">
        <v>86</v>
      </c>
      <c r="D320" s="19">
        <v>46151</v>
      </c>
      <c r="E320" t="s">
        <v>85</v>
      </c>
      <c r="F320">
        <f>+_xlfn.ISOWEEKNUM(export?format_csv_gid_612082435[[#This Row],[Fecha]])</f>
        <v>19</v>
      </c>
      <c r="G320">
        <f>+YEAR(export?format_csv_gid_612082435[[#This Row],[Fecha]])</f>
        <v>2026</v>
      </c>
      <c r="H320" t="e">
        <f>+VLOOKUP(export?format_csv_gid_612082435[[#This Row],[Valor]],Listas!A:B,2,FALSE)</f>
        <v>#N/A</v>
      </c>
    </row>
    <row r="321" spans="1:8" hidden="1" x14ac:dyDescent="0.3">
      <c r="A321" t="s">
        <v>83</v>
      </c>
      <c r="B321" t="s">
        <v>79</v>
      </c>
      <c r="C321" t="s">
        <v>86</v>
      </c>
      <c r="D321" s="19">
        <v>46152</v>
      </c>
      <c r="E321" t="s">
        <v>85</v>
      </c>
      <c r="F321">
        <f>+_xlfn.ISOWEEKNUM(export?format_csv_gid_612082435[[#This Row],[Fecha]])</f>
        <v>19</v>
      </c>
      <c r="G321">
        <f>+YEAR(export?format_csv_gid_612082435[[#This Row],[Fecha]])</f>
        <v>2026</v>
      </c>
      <c r="H321" t="e">
        <f>+VLOOKUP(export?format_csv_gid_612082435[[#This Row],[Valor]],Listas!A:B,2,FALSE)</f>
        <v>#N/A</v>
      </c>
    </row>
    <row r="322" spans="1:8" hidden="1" x14ac:dyDescent="0.3">
      <c r="A322" t="s">
        <v>83</v>
      </c>
      <c r="B322" t="s">
        <v>79</v>
      </c>
      <c r="C322" t="s">
        <v>86</v>
      </c>
      <c r="D322" s="19">
        <v>46153</v>
      </c>
      <c r="E322" t="s">
        <v>85</v>
      </c>
      <c r="F322">
        <f>+_xlfn.ISOWEEKNUM(export?format_csv_gid_612082435[[#This Row],[Fecha]])</f>
        <v>20</v>
      </c>
      <c r="G322">
        <f>+YEAR(export?format_csv_gid_612082435[[#This Row],[Fecha]])</f>
        <v>2026</v>
      </c>
      <c r="H322" t="e">
        <f>+VLOOKUP(export?format_csv_gid_612082435[[#This Row],[Valor]],Listas!A:B,2,FALSE)</f>
        <v>#N/A</v>
      </c>
    </row>
    <row r="323" spans="1:8" hidden="1" x14ac:dyDescent="0.3">
      <c r="A323" t="s">
        <v>83</v>
      </c>
      <c r="B323" t="s">
        <v>79</v>
      </c>
      <c r="C323" t="s">
        <v>86</v>
      </c>
      <c r="D323" s="19">
        <v>46154</v>
      </c>
      <c r="E323" t="s">
        <v>85</v>
      </c>
      <c r="F323">
        <f>+_xlfn.ISOWEEKNUM(export?format_csv_gid_612082435[[#This Row],[Fecha]])</f>
        <v>20</v>
      </c>
      <c r="G323">
        <f>+YEAR(export?format_csv_gid_612082435[[#This Row],[Fecha]])</f>
        <v>2026</v>
      </c>
      <c r="H323" t="e">
        <f>+VLOOKUP(export?format_csv_gid_612082435[[#This Row],[Valor]],Listas!A:B,2,FALSE)</f>
        <v>#N/A</v>
      </c>
    </row>
    <row r="324" spans="1:8" hidden="1" x14ac:dyDescent="0.3">
      <c r="A324" t="s">
        <v>83</v>
      </c>
      <c r="B324" t="s">
        <v>79</v>
      </c>
      <c r="C324" t="s">
        <v>86</v>
      </c>
      <c r="D324" s="19">
        <v>46155</v>
      </c>
      <c r="E324" t="s">
        <v>77</v>
      </c>
      <c r="F324">
        <f>+_xlfn.ISOWEEKNUM(export?format_csv_gid_612082435[[#This Row],[Fecha]])</f>
        <v>20</v>
      </c>
      <c r="G324">
        <f>+YEAR(export?format_csv_gid_612082435[[#This Row],[Fecha]])</f>
        <v>2026</v>
      </c>
      <c r="H324" t="e">
        <f>+VLOOKUP(export?format_csv_gid_612082435[[#This Row],[Valor]],Listas!A:B,2,FALSE)</f>
        <v>#N/A</v>
      </c>
    </row>
    <row r="325" spans="1:8" hidden="1" x14ac:dyDescent="0.3">
      <c r="A325" t="s">
        <v>83</v>
      </c>
      <c r="B325" t="s">
        <v>79</v>
      </c>
      <c r="C325" t="s">
        <v>86</v>
      </c>
      <c r="D325" s="19">
        <v>46156</v>
      </c>
      <c r="E325" t="s">
        <v>77</v>
      </c>
      <c r="F325">
        <f>+_xlfn.ISOWEEKNUM(export?format_csv_gid_612082435[[#This Row],[Fecha]])</f>
        <v>20</v>
      </c>
      <c r="G325">
        <f>+YEAR(export?format_csv_gid_612082435[[#This Row],[Fecha]])</f>
        <v>2026</v>
      </c>
      <c r="H325" t="e">
        <f>+VLOOKUP(export?format_csv_gid_612082435[[#This Row],[Valor]],Listas!A:B,2,FALSE)</f>
        <v>#N/A</v>
      </c>
    </row>
    <row r="326" spans="1:8" hidden="1" x14ac:dyDescent="0.3">
      <c r="A326" t="s">
        <v>83</v>
      </c>
      <c r="B326" t="s">
        <v>79</v>
      </c>
      <c r="C326" t="s">
        <v>86</v>
      </c>
      <c r="D326" s="19">
        <v>46157</v>
      </c>
      <c r="E326" t="s">
        <v>77</v>
      </c>
      <c r="F326">
        <f>+_xlfn.ISOWEEKNUM(export?format_csv_gid_612082435[[#This Row],[Fecha]])</f>
        <v>20</v>
      </c>
      <c r="G326">
        <f>+YEAR(export?format_csv_gid_612082435[[#This Row],[Fecha]])</f>
        <v>2026</v>
      </c>
      <c r="H326" t="e">
        <f>+VLOOKUP(export?format_csv_gid_612082435[[#This Row],[Valor]],Listas!A:B,2,FALSE)</f>
        <v>#N/A</v>
      </c>
    </row>
    <row r="327" spans="1:8" hidden="1" x14ac:dyDescent="0.3">
      <c r="A327" t="s">
        <v>83</v>
      </c>
      <c r="B327" t="s">
        <v>79</v>
      </c>
      <c r="C327" t="s">
        <v>86</v>
      </c>
      <c r="D327" s="19">
        <v>46158</v>
      </c>
      <c r="E327" t="s">
        <v>77</v>
      </c>
      <c r="F327">
        <f>+_xlfn.ISOWEEKNUM(export?format_csv_gid_612082435[[#This Row],[Fecha]])</f>
        <v>20</v>
      </c>
      <c r="G327">
        <f>+YEAR(export?format_csv_gid_612082435[[#This Row],[Fecha]])</f>
        <v>2026</v>
      </c>
      <c r="H327" t="e">
        <f>+VLOOKUP(export?format_csv_gid_612082435[[#This Row],[Valor]],Listas!A:B,2,FALSE)</f>
        <v>#N/A</v>
      </c>
    </row>
    <row r="328" spans="1:8" hidden="1" x14ac:dyDescent="0.3">
      <c r="A328" t="s">
        <v>83</v>
      </c>
      <c r="B328" t="s">
        <v>79</v>
      </c>
      <c r="C328" t="s">
        <v>86</v>
      </c>
      <c r="D328" s="19">
        <v>46159</v>
      </c>
      <c r="E328" t="s">
        <v>77</v>
      </c>
      <c r="F328">
        <f>+_xlfn.ISOWEEKNUM(export?format_csv_gid_612082435[[#This Row],[Fecha]])</f>
        <v>20</v>
      </c>
      <c r="G328">
        <f>+YEAR(export?format_csv_gid_612082435[[#This Row],[Fecha]])</f>
        <v>2026</v>
      </c>
      <c r="H328" t="e">
        <f>+VLOOKUP(export?format_csv_gid_612082435[[#This Row],[Valor]],Listas!A:B,2,FALSE)</f>
        <v>#N/A</v>
      </c>
    </row>
    <row r="329" spans="1:8" hidden="1" x14ac:dyDescent="0.3">
      <c r="A329" t="s">
        <v>83</v>
      </c>
      <c r="B329" t="s">
        <v>79</v>
      </c>
      <c r="C329" t="s">
        <v>86</v>
      </c>
      <c r="D329" s="19">
        <v>46160</v>
      </c>
      <c r="E329" t="s">
        <v>77</v>
      </c>
      <c r="F329">
        <f>+_xlfn.ISOWEEKNUM(export?format_csv_gid_612082435[[#This Row],[Fecha]])</f>
        <v>21</v>
      </c>
      <c r="G329">
        <f>+YEAR(export?format_csv_gid_612082435[[#This Row],[Fecha]])</f>
        <v>2026</v>
      </c>
      <c r="H329" t="e">
        <f>+VLOOKUP(export?format_csv_gid_612082435[[#This Row],[Valor]],Listas!A:B,2,FALSE)</f>
        <v>#N/A</v>
      </c>
    </row>
    <row r="330" spans="1:8" hidden="1" x14ac:dyDescent="0.3">
      <c r="A330" t="s">
        <v>83</v>
      </c>
      <c r="B330" t="s">
        <v>79</v>
      </c>
      <c r="C330" t="s">
        <v>86</v>
      </c>
      <c r="D330" s="19">
        <v>46161</v>
      </c>
      <c r="E330" t="s">
        <v>77</v>
      </c>
      <c r="F330">
        <f>+_xlfn.ISOWEEKNUM(export?format_csv_gid_612082435[[#This Row],[Fecha]])</f>
        <v>21</v>
      </c>
      <c r="G330">
        <f>+YEAR(export?format_csv_gid_612082435[[#This Row],[Fecha]])</f>
        <v>2026</v>
      </c>
      <c r="H330" t="e">
        <f>+VLOOKUP(export?format_csv_gid_612082435[[#This Row],[Valor]],Listas!A:B,2,FALSE)</f>
        <v>#N/A</v>
      </c>
    </row>
    <row r="331" spans="1:8" hidden="1" x14ac:dyDescent="0.3">
      <c r="A331" t="s">
        <v>83</v>
      </c>
      <c r="B331" t="s">
        <v>79</v>
      </c>
      <c r="C331" t="s">
        <v>86</v>
      </c>
      <c r="D331" s="19">
        <v>46162</v>
      </c>
      <c r="E331" t="s">
        <v>77</v>
      </c>
      <c r="F331">
        <f>+_xlfn.ISOWEEKNUM(export?format_csv_gid_612082435[[#This Row],[Fecha]])</f>
        <v>21</v>
      </c>
      <c r="G331">
        <f>+YEAR(export?format_csv_gid_612082435[[#This Row],[Fecha]])</f>
        <v>2026</v>
      </c>
      <c r="H331" t="e">
        <f>+VLOOKUP(export?format_csv_gid_612082435[[#This Row],[Valor]],Listas!A:B,2,FALSE)</f>
        <v>#N/A</v>
      </c>
    </row>
    <row r="332" spans="1:8" hidden="1" x14ac:dyDescent="0.3">
      <c r="A332" t="s">
        <v>83</v>
      </c>
      <c r="B332" t="s">
        <v>79</v>
      </c>
      <c r="C332" t="s">
        <v>86</v>
      </c>
      <c r="D332" s="19">
        <v>46163</v>
      </c>
      <c r="E332" t="s">
        <v>77</v>
      </c>
      <c r="F332">
        <f>+_xlfn.ISOWEEKNUM(export?format_csv_gid_612082435[[#This Row],[Fecha]])</f>
        <v>21</v>
      </c>
      <c r="G332">
        <f>+YEAR(export?format_csv_gid_612082435[[#This Row],[Fecha]])</f>
        <v>2026</v>
      </c>
      <c r="H332" t="e">
        <f>+VLOOKUP(export?format_csv_gid_612082435[[#This Row],[Valor]],Listas!A:B,2,FALSE)</f>
        <v>#N/A</v>
      </c>
    </row>
    <row r="333" spans="1:8" hidden="1" x14ac:dyDescent="0.3">
      <c r="A333" t="s">
        <v>83</v>
      </c>
      <c r="B333" t="s">
        <v>79</v>
      </c>
      <c r="C333" t="s">
        <v>86</v>
      </c>
      <c r="D333" s="19">
        <v>46164</v>
      </c>
      <c r="E333" t="s">
        <v>77</v>
      </c>
      <c r="F333">
        <f>+_xlfn.ISOWEEKNUM(export?format_csv_gid_612082435[[#This Row],[Fecha]])</f>
        <v>21</v>
      </c>
      <c r="G333">
        <f>+YEAR(export?format_csv_gid_612082435[[#This Row],[Fecha]])</f>
        <v>2026</v>
      </c>
      <c r="H333" t="e">
        <f>+VLOOKUP(export?format_csv_gid_612082435[[#This Row],[Valor]],Listas!A:B,2,FALSE)</f>
        <v>#N/A</v>
      </c>
    </row>
    <row r="334" spans="1:8" hidden="1" x14ac:dyDescent="0.3">
      <c r="A334" t="s">
        <v>83</v>
      </c>
      <c r="B334" t="s">
        <v>79</v>
      </c>
      <c r="C334" t="s">
        <v>86</v>
      </c>
      <c r="D334" s="19">
        <v>46165</v>
      </c>
      <c r="E334" t="s">
        <v>77</v>
      </c>
      <c r="F334">
        <f>+_xlfn.ISOWEEKNUM(export?format_csv_gid_612082435[[#This Row],[Fecha]])</f>
        <v>21</v>
      </c>
      <c r="G334">
        <f>+YEAR(export?format_csv_gid_612082435[[#This Row],[Fecha]])</f>
        <v>2026</v>
      </c>
      <c r="H334" t="e">
        <f>+VLOOKUP(export?format_csv_gid_612082435[[#This Row],[Valor]],Listas!A:B,2,FALSE)</f>
        <v>#N/A</v>
      </c>
    </row>
    <row r="335" spans="1:8" hidden="1" x14ac:dyDescent="0.3">
      <c r="A335" t="s">
        <v>83</v>
      </c>
      <c r="B335" t="s">
        <v>79</v>
      </c>
      <c r="C335" t="s">
        <v>86</v>
      </c>
      <c r="D335" s="19">
        <v>46166</v>
      </c>
      <c r="E335" t="s">
        <v>77</v>
      </c>
      <c r="F335">
        <f>+_xlfn.ISOWEEKNUM(export?format_csv_gid_612082435[[#This Row],[Fecha]])</f>
        <v>21</v>
      </c>
      <c r="G335">
        <f>+YEAR(export?format_csv_gid_612082435[[#This Row],[Fecha]])</f>
        <v>2026</v>
      </c>
      <c r="H335" t="e">
        <f>+VLOOKUP(export?format_csv_gid_612082435[[#This Row],[Valor]],Listas!A:B,2,FALSE)</f>
        <v>#N/A</v>
      </c>
    </row>
    <row r="336" spans="1:8" hidden="1" x14ac:dyDescent="0.3">
      <c r="A336" t="s">
        <v>83</v>
      </c>
      <c r="B336" t="s">
        <v>79</v>
      </c>
      <c r="C336" t="s">
        <v>86</v>
      </c>
      <c r="D336" s="19">
        <v>46167</v>
      </c>
      <c r="E336" t="s">
        <v>77</v>
      </c>
      <c r="F336">
        <f>+_xlfn.ISOWEEKNUM(export?format_csv_gid_612082435[[#This Row],[Fecha]])</f>
        <v>22</v>
      </c>
      <c r="G336">
        <f>+YEAR(export?format_csv_gid_612082435[[#This Row],[Fecha]])</f>
        <v>2026</v>
      </c>
      <c r="H336" t="e">
        <f>+VLOOKUP(export?format_csv_gid_612082435[[#This Row],[Valor]],Listas!A:B,2,FALSE)</f>
        <v>#N/A</v>
      </c>
    </row>
    <row r="337" spans="1:8" hidden="1" x14ac:dyDescent="0.3">
      <c r="A337" t="s">
        <v>83</v>
      </c>
      <c r="B337" t="s">
        <v>79</v>
      </c>
      <c r="C337" t="s">
        <v>86</v>
      </c>
      <c r="D337" s="19">
        <v>46168</v>
      </c>
      <c r="E337" t="s">
        <v>77</v>
      </c>
      <c r="F337">
        <f>+_xlfn.ISOWEEKNUM(export?format_csv_gid_612082435[[#This Row],[Fecha]])</f>
        <v>22</v>
      </c>
      <c r="G337">
        <f>+YEAR(export?format_csv_gid_612082435[[#This Row],[Fecha]])</f>
        <v>2026</v>
      </c>
      <c r="H337" t="e">
        <f>+VLOOKUP(export?format_csv_gid_612082435[[#This Row],[Valor]],Listas!A:B,2,FALSE)</f>
        <v>#N/A</v>
      </c>
    </row>
    <row r="338" spans="1:8" hidden="1" x14ac:dyDescent="0.3">
      <c r="A338" t="s">
        <v>83</v>
      </c>
      <c r="B338" t="s">
        <v>79</v>
      </c>
      <c r="C338" t="s">
        <v>86</v>
      </c>
      <c r="D338" s="19">
        <v>46169</v>
      </c>
      <c r="E338" t="s">
        <v>77</v>
      </c>
      <c r="F338">
        <f>+_xlfn.ISOWEEKNUM(export?format_csv_gid_612082435[[#This Row],[Fecha]])</f>
        <v>22</v>
      </c>
      <c r="G338">
        <f>+YEAR(export?format_csv_gid_612082435[[#This Row],[Fecha]])</f>
        <v>2026</v>
      </c>
      <c r="H338" t="e">
        <f>+VLOOKUP(export?format_csv_gid_612082435[[#This Row],[Valor]],Listas!A:B,2,FALSE)</f>
        <v>#N/A</v>
      </c>
    </row>
    <row r="339" spans="1:8" hidden="1" x14ac:dyDescent="0.3">
      <c r="A339" t="s">
        <v>83</v>
      </c>
      <c r="B339" t="s">
        <v>79</v>
      </c>
      <c r="C339" t="s">
        <v>86</v>
      </c>
      <c r="D339" s="19">
        <v>46170</v>
      </c>
      <c r="E339" t="s">
        <v>77</v>
      </c>
      <c r="F339">
        <f>+_xlfn.ISOWEEKNUM(export?format_csv_gid_612082435[[#This Row],[Fecha]])</f>
        <v>22</v>
      </c>
      <c r="G339">
        <f>+YEAR(export?format_csv_gid_612082435[[#This Row],[Fecha]])</f>
        <v>2026</v>
      </c>
      <c r="H339" t="e">
        <f>+VLOOKUP(export?format_csv_gid_612082435[[#This Row],[Valor]],Listas!A:B,2,FALSE)</f>
        <v>#N/A</v>
      </c>
    </row>
    <row r="340" spans="1:8" hidden="1" x14ac:dyDescent="0.3">
      <c r="A340" t="s">
        <v>83</v>
      </c>
      <c r="B340" t="s">
        <v>79</v>
      </c>
      <c r="C340" t="s">
        <v>86</v>
      </c>
      <c r="D340" s="19">
        <v>46171</v>
      </c>
      <c r="E340" t="s">
        <v>77</v>
      </c>
      <c r="F340">
        <f>+_xlfn.ISOWEEKNUM(export?format_csv_gid_612082435[[#This Row],[Fecha]])</f>
        <v>22</v>
      </c>
      <c r="G340">
        <f>+YEAR(export?format_csv_gid_612082435[[#This Row],[Fecha]])</f>
        <v>2026</v>
      </c>
      <c r="H340" t="e">
        <f>+VLOOKUP(export?format_csv_gid_612082435[[#This Row],[Valor]],Listas!A:B,2,FALSE)</f>
        <v>#N/A</v>
      </c>
    </row>
    <row r="341" spans="1:8" hidden="1" x14ac:dyDescent="0.3">
      <c r="A341" t="s">
        <v>83</v>
      </c>
      <c r="B341" t="s">
        <v>79</v>
      </c>
      <c r="C341" t="s">
        <v>86</v>
      </c>
      <c r="D341" s="19">
        <v>46172</v>
      </c>
      <c r="E341" t="s">
        <v>77</v>
      </c>
      <c r="F341">
        <f>+_xlfn.ISOWEEKNUM(export?format_csv_gid_612082435[[#This Row],[Fecha]])</f>
        <v>22</v>
      </c>
      <c r="G341">
        <f>+YEAR(export?format_csv_gid_612082435[[#This Row],[Fecha]])</f>
        <v>2026</v>
      </c>
      <c r="H341" t="e">
        <f>+VLOOKUP(export?format_csv_gid_612082435[[#This Row],[Valor]],Listas!A:B,2,FALSE)</f>
        <v>#N/A</v>
      </c>
    </row>
    <row r="342" spans="1:8" hidden="1" x14ac:dyDescent="0.3">
      <c r="A342" t="s">
        <v>83</v>
      </c>
      <c r="B342" t="s">
        <v>79</v>
      </c>
      <c r="C342" t="s">
        <v>86</v>
      </c>
      <c r="D342" s="19">
        <v>46173</v>
      </c>
      <c r="E342" t="s">
        <v>77</v>
      </c>
      <c r="F342">
        <f>+_xlfn.ISOWEEKNUM(export?format_csv_gid_612082435[[#This Row],[Fecha]])</f>
        <v>22</v>
      </c>
      <c r="G342">
        <f>+YEAR(export?format_csv_gid_612082435[[#This Row],[Fecha]])</f>
        <v>2026</v>
      </c>
      <c r="H342" t="e">
        <f>+VLOOKUP(export?format_csv_gid_612082435[[#This Row],[Valor]],Listas!A:B,2,FALSE)</f>
        <v>#N/A</v>
      </c>
    </row>
    <row r="343" spans="1:8" hidden="1" x14ac:dyDescent="0.3">
      <c r="A343" t="s">
        <v>83</v>
      </c>
      <c r="B343" t="s">
        <v>84</v>
      </c>
      <c r="C343" t="s">
        <v>152</v>
      </c>
      <c r="D343" s="19">
        <v>46143</v>
      </c>
      <c r="E343" t="s">
        <v>85</v>
      </c>
      <c r="F343">
        <f>+_xlfn.ISOWEEKNUM(export?format_csv_gid_612082435[[#This Row],[Fecha]])</f>
        <v>18</v>
      </c>
      <c r="G343">
        <f>+YEAR(export?format_csv_gid_612082435[[#This Row],[Fecha]])</f>
        <v>2026</v>
      </c>
      <c r="H343" t="e">
        <f>+VLOOKUP(export?format_csv_gid_612082435[[#This Row],[Valor]],Listas!A:B,2,FALSE)</f>
        <v>#N/A</v>
      </c>
    </row>
    <row r="344" spans="1:8" hidden="1" x14ac:dyDescent="0.3">
      <c r="A344" t="s">
        <v>83</v>
      </c>
      <c r="B344" t="s">
        <v>84</v>
      </c>
      <c r="C344" t="s">
        <v>152</v>
      </c>
      <c r="D344" s="19">
        <v>46144</v>
      </c>
      <c r="E344" t="s">
        <v>85</v>
      </c>
      <c r="F344">
        <f>+_xlfn.ISOWEEKNUM(export?format_csv_gid_612082435[[#This Row],[Fecha]])</f>
        <v>18</v>
      </c>
      <c r="G344">
        <f>+YEAR(export?format_csv_gid_612082435[[#This Row],[Fecha]])</f>
        <v>2026</v>
      </c>
      <c r="H344" t="e">
        <f>+VLOOKUP(export?format_csv_gid_612082435[[#This Row],[Valor]],Listas!A:B,2,FALSE)</f>
        <v>#N/A</v>
      </c>
    </row>
    <row r="345" spans="1:8" hidden="1" x14ac:dyDescent="0.3">
      <c r="A345" t="s">
        <v>83</v>
      </c>
      <c r="B345" t="s">
        <v>84</v>
      </c>
      <c r="C345" t="s">
        <v>152</v>
      </c>
      <c r="D345" s="19">
        <v>46145</v>
      </c>
      <c r="E345" t="s">
        <v>85</v>
      </c>
      <c r="F345">
        <f>+_xlfn.ISOWEEKNUM(export?format_csv_gid_612082435[[#This Row],[Fecha]])</f>
        <v>18</v>
      </c>
      <c r="G345">
        <f>+YEAR(export?format_csv_gid_612082435[[#This Row],[Fecha]])</f>
        <v>2026</v>
      </c>
      <c r="H345" t="e">
        <f>+VLOOKUP(export?format_csv_gid_612082435[[#This Row],[Valor]],Listas!A:B,2,FALSE)</f>
        <v>#N/A</v>
      </c>
    </row>
    <row r="346" spans="1:8" hidden="1" x14ac:dyDescent="0.3">
      <c r="A346" t="s">
        <v>83</v>
      </c>
      <c r="B346" t="s">
        <v>84</v>
      </c>
      <c r="C346" t="s">
        <v>152</v>
      </c>
      <c r="D346" s="19">
        <v>46146</v>
      </c>
      <c r="E346" t="s">
        <v>85</v>
      </c>
      <c r="F346">
        <f>+_xlfn.ISOWEEKNUM(export?format_csv_gid_612082435[[#This Row],[Fecha]])</f>
        <v>19</v>
      </c>
      <c r="G346">
        <f>+YEAR(export?format_csv_gid_612082435[[#This Row],[Fecha]])</f>
        <v>2026</v>
      </c>
      <c r="H346" t="e">
        <f>+VLOOKUP(export?format_csv_gid_612082435[[#This Row],[Valor]],Listas!A:B,2,FALSE)</f>
        <v>#N/A</v>
      </c>
    </row>
    <row r="347" spans="1:8" hidden="1" x14ac:dyDescent="0.3">
      <c r="A347" t="s">
        <v>83</v>
      </c>
      <c r="B347" t="s">
        <v>84</v>
      </c>
      <c r="C347" t="s">
        <v>152</v>
      </c>
      <c r="D347" s="19">
        <v>46147</v>
      </c>
      <c r="E347" t="s">
        <v>85</v>
      </c>
      <c r="F347">
        <f>+_xlfn.ISOWEEKNUM(export?format_csv_gid_612082435[[#This Row],[Fecha]])</f>
        <v>19</v>
      </c>
      <c r="G347">
        <f>+YEAR(export?format_csv_gid_612082435[[#This Row],[Fecha]])</f>
        <v>2026</v>
      </c>
      <c r="H347" t="e">
        <f>+VLOOKUP(export?format_csv_gid_612082435[[#This Row],[Valor]],Listas!A:B,2,FALSE)</f>
        <v>#N/A</v>
      </c>
    </row>
    <row r="348" spans="1:8" hidden="1" x14ac:dyDescent="0.3">
      <c r="A348" t="s">
        <v>83</v>
      </c>
      <c r="B348" t="s">
        <v>84</v>
      </c>
      <c r="C348" t="s">
        <v>152</v>
      </c>
      <c r="D348" s="19">
        <v>46148</v>
      </c>
      <c r="E348" t="s">
        <v>85</v>
      </c>
      <c r="F348">
        <f>+_xlfn.ISOWEEKNUM(export?format_csv_gid_612082435[[#This Row],[Fecha]])</f>
        <v>19</v>
      </c>
      <c r="G348">
        <f>+YEAR(export?format_csv_gid_612082435[[#This Row],[Fecha]])</f>
        <v>2026</v>
      </c>
      <c r="H348" t="e">
        <f>+VLOOKUP(export?format_csv_gid_612082435[[#This Row],[Valor]],Listas!A:B,2,FALSE)</f>
        <v>#N/A</v>
      </c>
    </row>
    <row r="349" spans="1:8" hidden="1" x14ac:dyDescent="0.3">
      <c r="A349" t="s">
        <v>83</v>
      </c>
      <c r="B349" t="s">
        <v>84</v>
      </c>
      <c r="C349" t="s">
        <v>152</v>
      </c>
      <c r="D349" s="19">
        <v>46149</v>
      </c>
      <c r="E349" t="s">
        <v>85</v>
      </c>
      <c r="F349">
        <f>+_xlfn.ISOWEEKNUM(export?format_csv_gid_612082435[[#This Row],[Fecha]])</f>
        <v>19</v>
      </c>
      <c r="G349">
        <f>+YEAR(export?format_csv_gid_612082435[[#This Row],[Fecha]])</f>
        <v>2026</v>
      </c>
      <c r="H349" t="e">
        <f>+VLOOKUP(export?format_csv_gid_612082435[[#This Row],[Valor]],Listas!A:B,2,FALSE)</f>
        <v>#N/A</v>
      </c>
    </row>
    <row r="350" spans="1:8" hidden="1" x14ac:dyDescent="0.3">
      <c r="A350" t="s">
        <v>83</v>
      </c>
      <c r="B350" t="s">
        <v>84</v>
      </c>
      <c r="C350" t="s">
        <v>152</v>
      </c>
      <c r="D350" s="19">
        <v>46150</v>
      </c>
      <c r="E350" t="s">
        <v>85</v>
      </c>
      <c r="F350">
        <f>+_xlfn.ISOWEEKNUM(export?format_csv_gid_612082435[[#This Row],[Fecha]])</f>
        <v>19</v>
      </c>
      <c r="G350">
        <f>+YEAR(export?format_csv_gid_612082435[[#This Row],[Fecha]])</f>
        <v>2026</v>
      </c>
      <c r="H350" t="e">
        <f>+VLOOKUP(export?format_csv_gid_612082435[[#This Row],[Valor]],Listas!A:B,2,FALSE)</f>
        <v>#N/A</v>
      </c>
    </row>
    <row r="351" spans="1:8" hidden="1" x14ac:dyDescent="0.3">
      <c r="A351" t="s">
        <v>83</v>
      </c>
      <c r="B351" t="s">
        <v>84</v>
      </c>
      <c r="C351" t="s">
        <v>152</v>
      </c>
      <c r="D351" s="19">
        <v>46151</v>
      </c>
      <c r="E351" t="s">
        <v>85</v>
      </c>
      <c r="F351">
        <f>+_xlfn.ISOWEEKNUM(export?format_csv_gid_612082435[[#This Row],[Fecha]])</f>
        <v>19</v>
      </c>
      <c r="G351">
        <f>+YEAR(export?format_csv_gid_612082435[[#This Row],[Fecha]])</f>
        <v>2026</v>
      </c>
      <c r="H351" t="e">
        <f>+VLOOKUP(export?format_csv_gid_612082435[[#This Row],[Valor]],Listas!A:B,2,FALSE)</f>
        <v>#N/A</v>
      </c>
    </row>
    <row r="352" spans="1:8" hidden="1" x14ac:dyDescent="0.3">
      <c r="A352" t="s">
        <v>83</v>
      </c>
      <c r="B352" t="s">
        <v>84</v>
      </c>
      <c r="C352" t="s">
        <v>152</v>
      </c>
      <c r="D352" s="19">
        <v>46152</v>
      </c>
      <c r="E352" t="s">
        <v>85</v>
      </c>
      <c r="F352">
        <f>+_xlfn.ISOWEEKNUM(export?format_csv_gid_612082435[[#This Row],[Fecha]])</f>
        <v>19</v>
      </c>
      <c r="G352">
        <f>+YEAR(export?format_csv_gid_612082435[[#This Row],[Fecha]])</f>
        <v>2026</v>
      </c>
      <c r="H352" t="e">
        <f>+VLOOKUP(export?format_csv_gid_612082435[[#This Row],[Valor]],Listas!A:B,2,FALSE)</f>
        <v>#N/A</v>
      </c>
    </row>
    <row r="353" spans="1:8" hidden="1" x14ac:dyDescent="0.3">
      <c r="A353" t="s">
        <v>83</v>
      </c>
      <c r="B353" t="s">
        <v>84</v>
      </c>
      <c r="C353" t="s">
        <v>152</v>
      </c>
      <c r="D353" s="19">
        <v>46153</v>
      </c>
      <c r="E353" t="s">
        <v>85</v>
      </c>
      <c r="F353">
        <f>+_xlfn.ISOWEEKNUM(export?format_csv_gid_612082435[[#This Row],[Fecha]])</f>
        <v>20</v>
      </c>
      <c r="G353">
        <f>+YEAR(export?format_csv_gid_612082435[[#This Row],[Fecha]])</f>
        <v>2026</v>
      </c>
      <c r="H353" t="e">
        <f>+VLOOKUP(export?format_csv_gid_612082435[[#This Row],[Valor]],Listas!A:B,2,FALSE)</f>
        <v>#N/A</v>
      </c>
    </row>
    <row r="354" spans="1:8" hidden="1" x14ac:dyDescent="0.3">
      <c r="A354" t="s">
        <v>83</v>
      </c>
      <c r="B354" t="s">
        <v>84</v>
      </c>
      <c r="C354" t="s">
        <v>152</v>
      </c>
      <c r="D354" s="19">
        <v>46154</v>
      </c>
      <c r="E354" t="s">
        <v>85</v>
      </c>
      <c r="F354">
        <f>+_xlfn.ISOWEEKNUM(export?format_csv_gid_612082435[[#This Row],[Fecha]])</f>
        <v>20</v>
      </c>
      <c r="G354">
        <f>+YEAR(export?format_csv_gid_612082435[[#This Row],[Fecha]])</f>
        <v>2026</v>
      </c>
      <c r="H354" t="e">
        <f>+VLOOKUP(export?format_csv_gid_612082435[[#This Row],[Valor]],Listas!A:B,2,FALSE)</f>
        <v>#N/A</v>
      </c>
    </row>
    <row r="355" spans="1:8" hidden="1" x14ac:dyDescent="0.3">
      <c r="A355" t="s">
        <v>83</v>
      </c>
      <c r="B355" t="s">
        <v>84</v>
      </c>
      <c r="C355" t="s">
        <v>152</v>
      </c>
      <c r="D355" s="19">
        <v>46155</v>
      </c>
      <c r="E355" t="s">
        <v>77</v>
      </c>
      <c r="F355">
        <f>+_xlfn.ISOWEEKNUM(export?format_csv_gid_612082435[[#This Row],[Fecha]])</f>
        <v>20</v>
      </c>
      <c r="G355">
        <f>+YEAR(export?format_csv_gid_612082435[[#This Row],[Fecha]])</f>
        <v>2026</v>
      </c>
      <c r="H355" t="e">
        <f>+VLOOKUP(export?format_csv_gid_612082435[[#This Row],[Valor]],Listas!A:B,2,FALSE)</f>
        <v>#N/A</v>
      </c>
    </row>
    <row r="356" spans="1:8" hidden="1" x14ac:dyDescent="0.3">
      <c r="A356" t="s">
        <v>83</v>
      </c>
      <c r="B356" t="s">
        <v>84</v>
      </c>
      <c r="C356" t="s">
        <v>152</v>
      </c>
      <c r="D356" s="19">
        <v>46156</v>
      </c>
      <c r="E356" t="s">
        <v>77</v>
      </c>
      <c r="F356">
        <f>+_xlfn.ISOWEEKNUM(export?format_csv_gid_612082435[[#This Row],[Fecha]])</f>
        <v>20</v>
      </c>
      <c r="G356">
        <f>+YEAR(export?format_csv_gid_612082435[[#This Row],[Fecha]])</f>
        <v>2026</v>
      </c>
      <c r="H356" t="e">
        <f>+VLOOKUP(export?format_csv_gid_612082435[[#This Row],[Valor]],Listas!A:B,2,FALSE)</f>
        <v>#N/A</v>
      </c>
    </row>
    <row r="357" spans="1:8" hidden="1" x14ac:dyDescent="0.3">
      <c r="A357" t="s">
        <v>83</v>
      </c>
      <c r="B357" t="s">
        <v>84</v>
      </c>
      <c r="C357" t="s">
        <v>152</v>
      </c>
      <c r="D357" s="19">
        <v>46157</v>
      </c>
      <c r="E357" t="s">
        <v>77</v>
      </c>
      <c r="F357">
        <f>+_xlfn.ISOWEEKNUM(export?format_csv_gid_612082435[[#This Row],[Fecha]])</f>
        <v>20</v>
      </c>
      <c r="G357">
        <f>+YEAR(export?format_csv_gid_612082435[[#This Row],[Fecha]])</f>
        <v>2026</v>
      </c>
      <c r="H357" t="e">
        <f>+VLOOKUP(export?format_csv_gid_612082435[[#This Row],[Valor]],Listas!A:B,2,FALSE)</f>
        <v>#N/A</v>
      </c>
    </row>
    <row r="358" spans="1:8" hidden="1" x14ac:dyDescent="0.3">
      <c r="A358" t="s">
        <v>83</v>
      </c>
      <c r="B358" t="s">
        <v>84</v>
      </c>
      <c r="C358" t="s">
        <v>152</v>
      </c>
      <c r="D358" s="19">
        <v>46158</v>
      </c>
      <c r="E358" t="s">
        <v>77</v>
      </c>
      <c r="F358">
        <f>+_xlfn.ISOWEEKNUM(export?format_csv_gid_612082435[[#This Row],[Fecha]])</f>
        <v>20</v>
      </c>
      <c r="G358">
        <f>+YEAR(export?format_csv_gid_612082435[[#This Row],[Fecha]])</f>
        <v>2026</v>
      </c>
      <c r="H358" t="e">
        <f>+VLOOKUP(export?format_csv_gid_612082435[[#This Row],[Valor]],Listas!A:B,2,FALSE)</f>
        <v>#N/A</v>
      </c>
    </row>
    <row r="359" spans="1:8" hidden="1" x14ac:dyDescent="0.3">
      <c r="A359" t="s">
        <v>83</v>
      </c>
      <c r="B359" t="s">
        <v>84</v>
      </c>
      <c r="C359" t="s">
        <v>152</v>
      </c>
      <c r="D359" s="19">
        <v>46159</v>
      </c>
      <c r="E359" t="s">
        <v>77</v>
      </c>
      <c r="F359">
        <f>+_xlfn.ISOWEEKNUM(export?format_csv_gid_612082435[[#This Row],[Fecha]])</f>
        <v>20</v>
      </c>
      <c r="G359">
        <f>+YEAR(export?format_csv_gid_612082435[[#This Row],[Fecha]])</f>
        <v>2026</v>
      </c>
      <c r="H359" t="e">
        <f>+VLOOKUP(export?format_csv_gid_612082435[[#This Row],[Valor]],Listas!A:B,2,FALSE)</f>
        <v>#N/A</v>
      </c>
    </row>
    <row r="360" spans="1:8" hidden="1" x14ac:dyDescent="0.3">
      <c r="A360" t="s">
        <v>83</v>
      </c>
      <c r="B360" t="s">
        <v>84</v>
      </c>
      <c r="C360" t="s">
        <v>152</v>
      </c>
      <c r="D360" s="19">
        <v>46160</v>
      </c>
      <c r="E360" t="s">
        <v>77</v>
      </c>
      <c r="F360">
        <f>+_xlfn.ISOWEEKNUM(export?format_csv_gid_612082435[[#This Row],[Fecha]])</f>
        <v>21</v>
      </c>
      <c r="G360">
        <f>+YEAR(export?format_csv_gid_612082435[[#This Row],[Fecha]])</f>
        <v>2026</v>
      </c>
      <c r="H360" t="e">
        <f>+VLOOKUP(export?format_csv_gid_612082435[[#This Row],[Valor]],Listas!A:B,2,FALSE)</f>
        <v>#N/A</v>
      </c>
    </row>
    <row r="361" spans="1:8" hidden="1" x14ac:dyDescent="0.3">
      <c r="A361" t="s">
        <v>83</v>
      </c>
      <c r="B361" t="s">
        <v>84</v>
      </c>
      <c r="C361" t="s">
        <v>152</v>
      </c>
      <c r="D361" s="19">
        <v>46161</v>
      </c>
      <c r="E361" t="s">
        <v>77</v>
      </c>
      <c r="F361">
        <f>+_xlfn.ISOWEEKNUM(export?format_csv_gid_612082435[[#This Row],[Fecha]])</f>
        <v>21</v>
      </c>
      <c r="G361">
        <f>+YEAR(export?format_csv_gid_612082435[[#This Row],[Fecha]])</f>
        <v>2026</v>
      </c>
      <c r="H361" t="e">
        <f>+VLOOKUP(export?format_csv_gid_612082435[[#This Row],[Valor]],Listas!A:B,2,FALSE)</f>
        <v>#N/A</v>
      </c>
    </row>
    <row r="362" spans="1:8" hidden="1" x14ac:dyDescent="0.3">
      <c r="A362" t="s">
        <v>83</v>
      </c>
      <c r="B362" t="s">
        <v>84</v>
      </c>
      <c r="C362" t="s">
        <v>152</v>
      </c>
      <c r="D362" s="19">
        <v>46162</v>
      </c>
      <c r="E362" t="s">
        <v>77</v>
      </c>
      <c r="F362">
        <f>+_xlfn.ISOWEEKNUM(export?format_csv_gid_612082435[[#This Row],[Fecha]])</f>
        <v>21</v>
      </c>
      <c r="G362">
        <f>+YEAR(export?format_csv_gid_612082435[[#This Row],[Fecha]])</f>
        <v>2026</v>
      </c>
      <c r="H362" t="e">
        <f>+VLOOKUP(export?format_csv_gid_612082435[[#This Row],[Valor]],Listas!A:B,2,FALSE)</f>
        <v>#N/A</v>
      </c>
    </row>
    <row r="363" spans="1:8" hidden="1" x14ac:dyDescent="0.3">
      <c r="A363" t="s">
        <v>83</v>
      </c>
      <c r="B363" t="s">
        <v>84</v>
      </c>
      <c r="C363" t="s">
        <v>152</v>
      </c>
      <c r="D363" s="19">
        <v>46163</v>
      </c>
      <c r="E363" t="s">
        <v>77</v>
      </c>
      <c r="F363">
        <f>+_xlfn.ISOWEEKNUM(export?format_csv_gid_612082435[[#This Row],[Fecha]])</f>
        <v>21</v>
      </c>
      <c r="G363">
        <f>+YEAR(export?format_csv_gid_612082435[[#This Row],[Fecha]])</f>
        <v>2026</v>
      </c>
      <c r="H363" t="e">
        <f>+VLOOKUP(export?format_csv_gid_612082435[[#This Row],[Valor]],Listas!A:B,2,FALSE)</f>
        <v>#N/A</v>
      </c>
    </row>
    <row r="364" spans="1:8" hidden="1" x14ac:dyDescent="0.3">
      <c r="A364" t="s">
        <v>83</v>
      </c>
      <c r="B364" t="s">
        <v>84</v>
      </c>
      <c r="C364" t="s">
        <v>152</v>
      </c>
      <c r="D364" s="19">
        <v>46164</v>
      </c>
      <c r="E364" t="s">
        <v>77</v>
      </c>
      <c r="F364">
        <f>+_xlfn.ISOWEEKNUM(export?format_csv_gid_612082435[[#This Row],[Fecha]])</f>
        <v>21</v>
      </c>
      <c r="G364">
        <f>+YEAR(export?format_csv_gid_612082435[[#This Row],[Fecha]])</f>
        <v>2026</v>
      </c>
      <c r="H364" t="e">
        <f>+VLOOKUP(export?format_csv_gid_612082435[[#This Row],[Valor]],Listas!A:B,2,FALSE)</f>
        <v>#N/A</v>
      </c>
    </row>
    <row r="365" spans="1:8" hidden="1" x14ac:dyDescent="0.3">
      <c r="A365" t="s">
        <v>83</v>
      </c>
      <c r="B365" t="s">
        <v>84</v>
      </c>
      <c r="C365" t="s">
        <v>152</v>
      </c>
      <c r="D365" s="19">
        <v>46165</v>
      </c>
      <c r="E365" t="s">
        <v>77</v>
      </c>
      <c r="F365">
        <f>+_xlfn.ISOWEEKNUM(export?format_csv_gid_612082435[[#This Row],[Fecha]])</f>
        <v>21</v>
      </c>
      <c r="G365">
        <f>+YEAR(export?format_csv_gid_612082435[[#This Row],[Fecha]])</f>
        <v>2026</v>
      </c>
      <c r="H365" t="e">
        <f>+VLOOKUP(export?format_csv_gid_612082435[[#This Row],[Valor]],Listas!A:B,2,FALSE)</f>
        <v>#N/A</v>
      </c>
    </row>
    <row r="366" spans="1:8" hidden="1" x14ac:dyDescent="0.3">
      <c r="A366" t="s">
        <v>83</v>
      </c>
      <c r="B366" t="s">
        <v>84</v>
      </c>
      <c r="C366" t="s">
        <v>152</v>
      </c>
      <c r="D366" s="19">
        <v>46166</v>
      </c>
      <c r="E366" t="s">
        <v>77</v>
      </c>
      <c r="F366">
        <f>+_xlfn.ISOWEEKNUM(export?format_csv_gid_612082435[[#This Row],[Fecha]])</f>
        <v>21</v>
      </c>
      <c r="G366">
        <f>+YEAR(export?format_csv_gid_612082435[[#This Row],[Fecha]])</f>
        <v>2026</v>
      </c>
      <c r="H366" t="e">
        <f>+VLOOKUP(export?format_csv_gid_612082435[[#This Row],[Valor]],Listas!A:B,2,FALSE)</f>
        <v>#N/A</v>
      </c>
    </row>
    <row r="367" spans="1:8" hidden="1" x14ac:dyDescent="0.3">
      <c r="A367" t="s">
        <v>83</v>
      </c>
      <c r="B367" t="s">
        <v>84</v>
      </c>
      <c r="C367" t="s">
        <v>152</v>
      </c>
      <c r="D367" s="19">
        <v>46167</v>
      </c>
      <c r="E367" t="s">
        <v>77</v>
      </c>
      <c r="F367">
        <f>+_xlfn.ISOWEEKNUM(export?format_csv_gid_612082435[[#This Row],[Fecha]])</f>
        <v>22</v>
      </c>
      <c r="G367">
        <f>+YEAR(export?format_csv_gid_612082435[[#This Row],[Fecha]])</f>
        <v>2026</v>
      </c>
      <c r="H367" t="e">
        <f>+VLOOKUP(export?format_csv_gid_612082435[[#This Row],[Valor]],Listas!A:B,2,FALSE)</f>
        <v>#N/A</v>
      </c>
    </row>
    <row r="368" spans="1:8" hidden="1" x14ac:dyDescent="0.3">
      <c r="A368" t="s">
        <v>83</v>
      </c>
      <c r="B368" t="s">
        <v>84</v>
      </c>
      <c r="C368" t="s">
        <v>152</v>
      </c>
      <c r="D368" s="19">
        <v>46168</v>
      </c>
      <c r="E368" t="s">
        <v>77</v>
      </c>
      <c r="F368">
        <f>+_xlfn.ISOWEEKNUM(export?format_csv_gid_612082435[[#This Row],[Fecha]])</f>
        <v>22</v>
      </c>
      <c r="G368">
        <f>+YEAR(export?format_csv_gid_612082435[[#This Row],[Fecha]])</f>
        <v>2026</v>
      </c>
      <c r="H368" t="e">
        <f>+VLOOKUP(export?format_csv_gid_612082435[[#This Row],[Valor]],Listas!A:B,2,FALSE)</f>
        <v>#N/A</v>
      </c>
    </row>
    <row r="369" spans="1:8" hidden="1" x14ac:dyDescent="0.3">
      <c r="A369" t="s">
        <v>83</v>
      </c>
      <c r="B369" t="s">
        <v>84</v>
      </c>
      <c r="C369" t="s">
        <v>152</v>
      </c>
      <c r="D369" s="19">
        <v>46169</v>
      </c>
      <c r="E369" t="s">
        <v>77</v>
      </c>
      <c r="F369">
        <f>+_xlfn.ISOWEEKNUM(export?format_csv_gid_612082435[[#This Row],[Fecha]])</f>
        <v>22</v>
      </c>
      <c r="G369">
        <f>+YEAR(export?format_csv_gid_612082435[[#This Row],[Fecha]])</f>
        <v>2026</v>
      </c>
      <c r="H369" t="e">
        <f>+VLOOKUP(export?format_csv_gid_612082435[[#This Row],[Valor]],Listas!A:B,2,FALSE)</f>
        <v>#N/A</v>
      </c>
    </row>
    <row r="370" spans="1:8" hidden="1" x14ac:dyDescent="0.3">
      <c r="A370" t="s">
        <v>83</v>
      </c>
      <c r="B370" t="s">
        <v>84</v>
      </c>
      <c r="C370" t="s">
        <v>152</v>
      </c>
      <c r="D370" s="19">
        <v>46170</v>
      </c>
      <c r="E370" t="s">
        <v>77</v>
      </c>
      <c r="F370">
        <f>+_xlfn.ISOWEEKNUM(export?format_csv_gid_612082435[[#This Row],[Fecha]])</f>
        <v>22</v>
      </c>
      <c r="G370">
        <f>+YEAR(export?format_csv_gid_612082435[[#This Row],[Fecha]])</f>
        <v>2026</v>
      </c>
      <c r="H370" t="e">
        <f>+VLOOKUP(export?format_csv_gid_612082435[[#This Row],[Valor]],Listas!A:B,2,FALSE)</f>
        <v>#N/A</v>
      </c>
    </row>
    <row r="371" spans="1:8" hidden="1" x14ac:dyDescent="0.3">
      <c r="A371" t="s">
        <v>83</v>
      </c>
      <c r="B371" t="s">
        <v>84</v>
      </c>
      <c r="C371" t="s">
        <v>152</v>
      </c>
      <c r="D371" s="19">
        <v>46171</v>
      </c>
      <c r="E371" t="s">
        <v>77</v>
      </c>
      <c r="F371">
        <f>+_xlfn.ISOWEEKNUM(export?format_csv_gid_612082435[[#This Row],[Fecha]])</f>
        <v>22</v>
      </c>
      <c r="G371">
        <f>+YEAR(export?format_csv_gid_612082435[[#This Row],[Fecha]])</f>
        <v>2026</v>
      </c>
      <c r="H371" t="e">
        <f>+VLOOKUP(export?format_csv_gid_612082435[[#This Row],[Valor]],Listas!A:B,2,FALSE)</f>
        <v>#N/A</v>
      </c>
    </row>
    <row r="372" spans="1:8" hidden="1" x14ac:dyDescent="0.3">
      <c r="A372" t="s">
        <v>83</v>
      </c>
      <c r="B372" t="s">
        <v>84</v>
      </c>
      <c r="C372" t="s">
        <v>152</v>
      </c>
      <c r="D372" s="19">
        <v>46172</v>
      </c>
      <c r="E372" t="s">
        <v>77</v>
      </c>
      <c r="F372">
        <f>+_xlfn.ISOWEEKNUM(export?format_csv_gid_612082435[[#This Row],[Fecha]])</f>
        <v>22</v>
      </c>
      <c r="G372">
        <f>+YEAR(export?format_csv_gid_612082435[[#This Row],[Fecha]])</f>
        <v>2026</v>
      </c>
      <c r="H372" t="e">
        <f>+VLOOKUP(export?format_csv_gid_612082435[[#This Row],[Valor]],Listas!A:B,2,FALSE)</f>
        <v>#N/A</v>
      </c>
    </row>
    <row r="373" spans="1:8" hidden="1" x14ac:dyDescent="0.3">
      <c r="A373" t="s">
        <v>83</v>
      </c>
      <c r="B373" t="s">
        <v>84</v>
      </c>
      <c r="C373" t="s">
        <v>152</v>
      </c>
      <c r="D373" s="19">
        <v>46173</v>
      </c>
      <c r="E373" t="s">
        <v>77</v>
      </c>
      <c r="F373">
        <f>+_xlfn.ISOWEEKNUM(export?format_csv_gid_612082435[[#This Row],[Fecha]])</f>
        <v>22</v>
      </c>
      <c r="G373">
        <f>+YEAR(export?format_csv_gid_612082435[[#This Row],[Fecha]])</f>
        <v>2026</v>
      </c>
      <c r="H373" t="e">
        <f>+VLOOKUP(export?format_csv_gid_612082435[[#This Row],[Valor]],Listas!A:B,2,FALSE)</f>
        <v>#N/A</v>
      </c>
    </row>
    <row r="374" spans="1:8" hidden="1" x14ac:dyDescent="0.3">
      <c r="A374" t="s">
        <v>72</v>
      </c>
      <c r="B374" t="s">
        <v>84</v>
      </c>
      <c r="C374" t="s">
        <v>87</v>
      </c>
      <c r="D374" s="19">
        <v>46143</v>
      </c>
      <c r="E374" t="s">
        <v>76</v>
      </c>
      <c r="F374">
        <f>+_xlfn.ISOWEEKNUM(export?format_csv_gid_612082435[[#This Row],[Fecha]])</f>
        <v>18</v>
      </c>
      <c r="G374">
        <f>+YEAR(export?format_csv_gid_612082435[[#This Row],[Fecha]])</f>
        <v>2026</v>
      </c>
      <c r="H374" t="str">
        <f>+VLOOKUP(export?format_csv_gid_612082435[[#This Row],[Valor]],Listas!A:B,2,FALSE)</f>
        <v>Asistencia</v>
      </c>
    </row>
    <row r="375" spans="1:8" hidden="1" x14ac:dyDescent="0.3">
      <c r="A375" t="s">
        <v>72</v>
      </c>
      <c r="B375" t="s">
        <v>84</v>
      </c>
      <c r="C375" t="s">
        <v>87</v>
      </c>
      <c r="D375" s="19">
        <v>46144</v>
      </c>
      <c r="E375" t="s">
        <v>76</v>
      </c>
      <c r="F375">
        <f>+_xlfn.ISOWEEKNUM(export?format_csv_gid_612082435[[#This Row],[Fecha]])</f>
        <v>18</v>
      </c>
      <c r="G375">
        <f>+YEAR(export?format_csv_gid_612082435[[#This Row],[Fecha]])</f>
        <v>2026</v>
      </c>
      <c r="H375" t="str">
        <f>+VLOOKUP(export?format_csv_gid_612082435[[#This Row],[Valor]],Listas!A:B,2,FALSE)</f>
        <v>Asistencia</v>
      </c>
    </row>
    <row r="376" spans="1:8" hidden="1" x14ac:dyDescent="0.3">
      <c r="A376" t="s">
        <v>72</v>
      </c>
      <c r="B376" t="s">
        <v>84</v>
      </c>
      <c r="C376" t="s">
        <v>87</v>
      </c>
      <c r="D376" s="19">
        <v>46145</v>
      </c>
      <c r="E376" t="s">
        <v>76</v>
      </c>
      <c r="F376">
        <f>+_xlfn.ISOWEEKNUM(export?format_csv_gid_612082435[[#This Row],[Fecha]])</f>
        <v>18</v>
      </c>
      <c r="G376">
        <f>+YEAR(export?format_csv_gid_612082435[[#This Row],[Fecha]])</f>
        <v>2026</v>
      </c>
      <c r="H376" t="str">
        <f>+VLOOKUP(export?format_csv_gid_612082435[[#This Row],[Valor]],Listas!A:B,2,FALSE)</f>
        <v>Asistencia</v>
      </c>
    </row>
    <row r="377" spans="1:8" hidden="1" x14ac:dyDescent="0.3">
      <c r="A377" t="s">
        <v>72</v>
      </c>
      <c r="B377" t="s">
        <v>84</v>
      </c>
      <c r="C377" t="s">
        <v>87</v>
      </c>
      <c r="D377" s="19">
        <v>46146</v>
      </c>
      <c r="E377" t="s">
        <v>113</v>
      </c>
      <c r="F377">
        <f>+_xlfn.ISOWEEKNUM(export?format_csv_gid_612082435[[#This Row],[Fecha]])</f>
        <v>19</v>
      </c>
      <c r="G377">
        <f>+YEAR(export?format_csv_gid_612082435[[#This Row],[Fecha]])</f>
        <v>2026</v>
      </c>
      <c r="H377" t="str">
        <f>+VLOOKUP(export?format_csv_gid_612082435[[#This Row],[Valor]],Listas!A:B,2,FALSE)</f>
        <v>D. Remunerado</v>
      </c>
    </row>
    <row r="378" spans="1:8" hidden="1" x14ac:dyDescent="0.3">
      <c r="A378" t="s">
        <v>72</v>
      </c>
      <c r="B378" t="s">
        <v>84</v>
      </c>
      <c r="C378" t="s">
        <v>87</v>
      </c>
      <c r="D378" s="19">
        <v>46147</v>
      </c>
      <c r="E378" t="s">
        <v>76</v>
      </c>
      <c r="F378">
        <f>+_xlfn.ISOWEEKNUM(export?format_csv_gid_612082435[[#This Row],[Fecha]])</f>
        <v>19</v>
      </c>
      <c r="G378">
        <f>+YEAR(export?format_csv_gid_612082435[[#This Row],[Fecha]])</f>
        <v>2026</v>
      </c>
      <c r="H378" t="str">
        <f>+VLOOKUP(export?format_csv_gid_612082435[[#This Row],[Valor]],Listas!A:B,2,FALSE)</f>
        <v>Asistencia</v>
      </c>
    </row>
    <row r="379" spans="1:8" hidden="1" x14ac:dyDescent="0.3">
      <c r="A379" t="s">
        <v>72</v>
      </c>
      <c r="B379" t="s">
        <v>84</v>
      </c>
      <c r="C379" t="s">
        <v>87</v>
      </c>
      <c r="D379" s="19">
        <v>46148</v>
      </c>
      <c r="E379" t="s">
        <v>76</v>
      </c>
      <c r="F379">
        <f>+_xlfn.ISOWEEKNUM(export?format_csv_gid_612082435[[#This Row],[Fecha]])</f>
        <v>19</v>
      </c>
      <c r="G379">
        <f>+YEAR(export?format_csv_gid_612082435[[#This Row],[Fecha]])</f>
        <v>2026</v>
      </c>
      <c r="H379" t="str">
        <f>+VLOOKUP(export?format_csv_gid_612082435[[#This Row],[Valor]],Listas!A:B,2,FALSE)</f>
        <v>Asistencia</v>
      </c>
    </row>
    <row r="380" spans="1:8" hidden="1" x14ac:dyDescent="0.3">
      <c r="A380" t="s">
        <v>72</v>
      </c>
      <c r="B380" t="s">
        <v>84</v>
      </c>
      <c r="C380" t="s">
        <v>87</v>
      </c>
      <c r="D380" s="19">
        <v>46149</v>
      </c>
      <c r="E380" t="s">
        <v>76</v>
      </c>
      <c r="F380">
        <f>+_xlfn.ISOWEEKNUM(export?format_csv_gid_612082435[[#This Row],[Fecha]])</f>
        <v>19</v>
      </c>
      <c r="G380">
        <f>+YEAR(export?format_csv_gid_612082435[[#This Row],[Fecha]])</f>
        <v>2026</v>
      </c>
      <c r="H380" t="str">
        <f>+VLOOKUP(export?format_csv_gid_612082435[[#This Row],[Valor]],Listas!A:B,2,FALSE)</f>
        <v>Asistencia</v>
      </c>
    </row>
    <row r="381" spans="1:8" hidden="1" x14ac:dyDescent="0.3">
      <c r="A381" t="s">
        <v>72</v>
      </c>
      <c r="B381" t="s">
        <v>84</v>
      </c>
      <c r="C381" t="s">
        <v>87</v>
      </c>
      <c r="D381" s="19">
        <v>46150</v>
      </c>
      <c r="E381" t="s">
        <v>76</v>
      </c>
      <c r="F381">
        <f>+_xlfn.ISOWEEKNUM(export?format_csv_gid_612082435[[#This Row],[Fecha]])</f>
        <v>19</v>
      </c>
      <c r="G381">
        <f>+YEAR(export?format_csv_gid_612082435[[#This Row],[Fecha]])</f>
        <v>2026</v>
      </c>
      <c r="H381" t="str">
        <f>+VLOOKUP(export?format_csv_gid_612082435[[#This Row],[Valor]],Listas!A:B,2,FALSE)</f>
        <v>Asistencia</v>
      </c>
    </row>
    <row r="382" spans="1:8" hidden="1" x14ac:dyDescent="0.3">
      <c r="A382" t="s">
        <v>72</v>
      </c>
      <c r="B382" t="s">
        <v>84</v>
      </c>
      <c r="C382" t="s">
        <v>87</v>
      </c>
      <c r="D382" s="19">
        <v>46151</v>
      </c>
      <c r="E382" t="s">
        <v>76</v>
      </c>
      <c r="F382">
        <f>+_xlfn.ISOWEEKNUM(export?format_csv_gid_612082435[[#This Row],[Fecha]])</f>
        <v>19</v>
      </c>
      <c r="G382">
        <f>+YEAR(export?format_csv_gid_612082435[[#This Row],[Fecha]])</f>
        <v>2026</v>
      </c>
      <c r="H382" t="str">
        <f>+VLOOKUP(export?format_csv_gid_612082435[[#This Row],[Valor]],Listas!A:B,2,FALSE)</f>
        <v>Asistencia</v>
      </c>
    </row>
    <row r="383" spans="1:8" hidden="1" x14ac:dyDescent="0.3">
      <c r="A383" t="s">
        <v>72</v>
      </c>
      <c r="B383" t="s">
        <v>84</v>
      </c>
      <c r="C383" t="s">
        <v>87</v>
      </c>
      <c r="D383" s="19">
        <v>46152</v>
      </c>
      <c r="E383" t="s">
        <v>113</v>
      </c>
      <c r="F383">
        <f>+_xlfn.ISOWEEKNUM(export?format_csv_gid_612082435[[#This Row],[Fecha]])</f>
        <v>19</v>
      </c>
      <c r="G383">
        <f>+YEAR(export?format_csv_gid_612082435[[#This Row],[Fecha]])</f>
        <v>2026</v>
      </c>
      <c r="H383" t="str">
        <f>+VLOOKUP(export?format_csv_gid_612082435[[#This Row],[Valor]],Listas!A:B,2,FALSE)</f>
        <v>D. Remunerado</v>
      </c>
    </row>
    <row r="384" spans="1:8" hidden="1" x14ac:dyDescent="0.3">
      <c r="A384" t="s">
        <v>72</v>
      </c>
      <c r="B384" t="s">
        <v>84</v>
      </c>
      <c r="C384" t="s">
        <v>87</v>
      </c>
      <c r="D384" s="19">
        <v>46153</v>
      </c>
      <c r="E384" t="s">
        <v>113</v>
      </c>
      <c r="F384">
        <f>+_xlfn.ISOWEEKNUM(export?format_csv_gid_612082435[[#This Row],[Fecha]])</f>
        <v>20</v>
      </c>
      <c r="G384">
        <f>+YEAR(export?format_csv_gid_612082435[[#This Row],[Fecha]])</f>
        <v>2026</v>
      </c>
      <c r="H384" t="str">
        <f>+VLOOKUP(export?format_csv_gid_612082435[[#This Row],[Valor]],Listas!A:B,2,FALSE)</f>
        <v>D. Remunerado</v>
      </c>
    </row>
    <row r="385" spans="1:8" hidden="1" x14ac:dyDescent="0.3">
      <c r="A385" t="s">
        <v>72</v>
      </c>
      <c r="B385" t="s">
        <v>84</v>
      </c>
      <c r="C385" t="s">
        <v>87</v>
      </c>
      <c r="D385" s="19">
        <v>46154</v>
      </c>
      <c r="E385" t="s">
        <v>76</v>
      </c>
      <c r="F385">
        <f>+_xlfn.ISOWEEKNUM(export?format_csv_gid_612082435[[#This Row],[Fecha]])</f>
        <v>20</v>
      </c>
      <c r="G385">
        <f>+YEAR(export?format_csv_gid_612082435[[#This Row],[Fecha]])</f>
        <v>2026</v>
      </c>
      <c r="H385" t="str">
        <f>+VLOOKUP(export?format_csv_gid_612082435[[#This Row],[Valor]],Listas!A:B,2,FALSE)</f>
        <v>Asistencia</v>
      </c>
    </row>
    <row r="386" spans="1:8" hidden="1" x14ac:dyDescent="0.3">
      <c r="A386" t="s">
        <v>72</v>
      </c>
      <c r="B386" t="s">
        <v>84</v>
      </c>
      <c r="C386" t="s">
        <v>87</v>
      </c>
      <c r="D386" s="19">
        <v>46155</v>
      </c>
      <c r="E386" t="s">
        <v>76</v>
      </c>
      <c r="F386">
        <f>+_xlfn.ISOWEEKNUM(export?format_csv_gid_612082435[[#This Row],[Fecha]])</f>
        <v>20</v>
      </c>
      <c r="G386">
        <f>+YEAR(export?format_csv_gid_612082435[[#This Row],[Fecha]])</f>
        <v>2026</v>
      </c>
      <c r="H386" t="str">
        <f>+VLOOKUP(export?format_csv_gid_612082435[[#This Row],[Valor]],Listas!A:B,2,FALSE)</f>
        <v>Asistencia</v>
      </c>
    </row>
    <row r="387" spans="1:8" hidden="1" x14ac:dyDescent="0.3">
      <c r="A387" t="s">
        <v>72</v>
      </c>
      <c r="B387" t="s">
        <v>84</v>
      </c>
      <c r="C387" t="s">
        <v>87</v>
      </c>
      <c r="D387" s="19">
        <v>46156</v>
      </c>
      <c r="E387" t="s">
        <v>76</v>
      </c>
      <c r="F387">
        <f>+_xlfn.ISOWEEKNUM(export?format_csv_gid_612082435[[#This Row],[Fecha]])</f>
        <v>20</v>
      </c>
      <c r="G387">
        <f>+YEAR(export?format_csv_gid_612082435[[#This Row],[Fecha]])</f>
        <v>2026</v>
      </c>
      <c r="H387" t="str">
        <f>+VLOOKUP(export?format_csv_gid_612082435[[#This Row],[Valor]],Listas!A:B,2,FALSE)</f>
        <v>Asistencia</v>
      </c>
    </row>
    <row r="388" spans="1:8" hidden="1" x14ac:dyDescent="0.3">
      <c r="A388" t="s">
        <v>72</v>
      </c>
      <c r="B388" t="s">
        <v>84</v>
      </c>
      <c r="C388" t="s">
        <v>87</v>
      </c>
      <c r="D388" s="19">
        <v>46157</v>
      </c>
      <c r="E388" t="s">
        <v>76</v>
      </c>
      <c r="F388">
        <f>+_xlfn.ISOWEEKNUM(export?format_csv_gid_612082435[[#This Row],[Fecha]])</f>
        <v>20</v>
      </c>
      <c r="G388">
        <f>+YEAR(export?format_csv_gid_612082435[[#This Row],[Fecha]])</f>
        <v>2026</v>
      </c>
      <c r="H388" t="str">
        <f>+VLOOKUP(export?format_csv_gid_612082435[[#This Row],[Valor]],Listas!A:B,2,FALSE)</f>
        <v>Asistencia</v>
      </c>
    </row>
    <row r="389" spans="1:8" hidden="1" x14ac:dyDescent="0.3">
      <c r="A389" t="s">
        <v>72</v>
      </c>
      <c r="B389" t="s">
        <v>84</v>
      </c>
      <c r="C389" t="s">
        <v>87</v>
      </c>
      <c r="D389" s="19">
        <v>46158</v>
      </c>
      <c r="E389" t="s">
        <v>77</v>
      </c>
      <c r="F389">
        <f>+_xlfn.ISOWEEKNUM(export?format_csv_gid_612082435[[#This Row],[Fecha]])</f>
        <v>20</v>
      </c>
      <c r="G389">
        <f>+YEAR(export?format_csv_gid_612082435[[#This Row],[Fecha]])</f>
        <v>2026</v>
      </c>
      <c r="H389" t="e">
        <f>+VLOOKUP(export?format_csv_gid_612082435[[#This Row],[Valor]],Listas!A:B,2,FALSE)</f>
        <v>#N/A</v>
      </c>
    </row>
    <row r="390" spans="1:8" hidden="1" x14ac:dyDescent="0.3">
      <c r="A390" t="s">
        <v>72</v>
      </c>
      <c r="B390" t="s">
        <v>84</v>
      </c>
      <c r="C390" t="s">
        <v>87</v>
      </c>
      <c r="D390" s="19">
        <v>46159</v>
      </c>
      <c r="E390" t="s">
        <v>77</v>
      </c>
      <c r="F390">
        <f>+_xlfn.ISOWEEKNUM(export?format_csv_gid_612082435[[#This Row],[Fecha]])</f>
        <v>20</v>
      </c>
      <c r="G390">
        <f>+YEAR(export?format_csv_gid_612082435[[#This Row],[Fecha]])</f>
        <v>2026</v>
      </c>
      <c r="H390" t="e">
        <f>+VLOOKUP(export?format_csv_gid_612082435[[#This Row],[Valor]],Listas!A:B,2,FALSE)</f>
        <v>#N/A</v>
      </c>
    </row>
    <row r="391" spans="1:8" hidden="1" x14ac:dyDescent="0.3">
      <c r="A391" t="s">
        <v>72</v>
      </c>
      <c r="B391" t="s">
        <v>84</v>
      </c>
      <c r="C391" t="s">
        <v>87</v>
      </c>
      <c r="D391" s="19">
        <v>46160</v>
      </c>
      <c r="E391" t="s">
        <v>77</v>
      </c>
      <c r="F391">
        <f>+_xlfn.ISOWEEKNUM(export?format_csv_gid_612082435[[#This Row],[Fecha]])</f>
        <v>21</v>
      </c>
      <c r="G391">
        <f>+YEAR(export?format_csv_gid_612082435[[#This Row],[Fecha]])</f>
        <v>2026</v>
      </c>
      <c r="H391" t="e">
        <f>+VLOOKUP(export?format_csv_gid_612082435[[#This Row],[Valor]],Listas!A:B,2,FALSE)</f>
        <v>#N/A</v>
      </c>
    </row>
    <row r="392" spans="1:8" hidden="1" x14ac:dyDescent="0.3">
      <c r="A392" t="s">
        <v>72</v>
      </c>
      <c r="B392" t="s">
        <v>84</v>
      </c>
      <c r="C392" t="s">
        <v>87</v>
      </c>
      <c r="D392" s="19">
        <v>46161</v>
      </c>
      <c r="E392" t="s">
        <v>77</v>
      </c>
      <c r="F392">
        <f>+_xlfn.ISOWEEKNUM(export?format_csv_gid_612082435[[#This Row],[Fecha]])</f>
        <v>21</v>
      </c>
      <c r="G392">
        <f>+YEAR(export?format_csv_gid_612082435[[#This Row],[Fecha]])</f>
        <v>2026</v>
      </c>
      <c r="H392" t="e">
        <f>+VLOOKUP(export?format_csv_gid_612082435[[#This Row],[Valor]],Listas!A:B,2,FALSE)</f>
        <v>#N/A</v>
      </c>
    </row>
    <row r="393" spans="1:8" hidden="1" x14ac:dyDescent="0.3">
      <c r="A393" t="s">
        <v>72</v>
      </c>
      <c r="B393" t="s">
        <v>84</v>
      </c>
      <c r="C393" t="s">
        <v>87</v>
      </c>
      <c r="D393" s="19">
        <v>46162</v>
      </c>
      <c r="E393" t="s">
        <v>77</v>
      </c>
      <c r="F393">
        <f>+_xlfn.ISOWEEKNUM(export?format_csv_gid_612082435[[#This Row],[Fecha]])</f>
        <v>21</v>
      </c>
      <c r="G393">
        <f>+YEAR(export?format_csv_gid_612082435[[#This Row],[Fecha]])</f>
        <v>2026</v>
      </c>
      <c r="H393" t="e">
        <f>+VLOOKUP(export?format_csv_gid_612082435[[#This Row],[Valor]],Listas!A:B,2,FALSE)</f>
        <v>#N/A</v>
      </c>
    </row>
    <row r="394" spans="1:8" hidden="1" x14ac:dyDescent="0.3">
      <c r="A394" t="s">
        <v>72</v>
      </c>
      <c r="B394" t="s">
        <v>84</v>
      </c>
      <c r="C394" t="s">
        <v>87</v>
      </c>
      <c r="D394" s="19">
        <v>46163</v>
      </c>
      <c r="E394" t="s">
        <v>77</v>
      </c>
      <c r="F394">
        <f>+_xlfn.ISOWEEKNUM(export?format_csv_gid_612082435[[#This Row],[Fecha]])</f>
        <v>21</v>
      </c>
      <c r="G394">
        <f>+YEAR(export?format_csv_gid_612082435[[#This Row],[Fecha]])</f>
        <v>2026</v>
      </c>
      <c r="H394" t="e">
        <f>+VLOOKUP(export?format_csv_gid_612082435[[#This Row],[Valor]],Listas!A:B,2,FALSE)</f>
        <v>#N/A</v>
      </c>
    </row>
    <row r="395" spans="1:8" hidden="1" x14ac:dyDescent="0.3">
      <c r="A395" t="s">
        <v>72</v>
      </c>
      <c r="B395" t="s">
        <v>84</v>
      </c>
      <c r="C395" t="s">
        <v>87</v>
      </c>
      <c r="D395" s="19">
        <v>46164</v>
      </c>
      <c r="E395" t="s">
        <v>77</v>
      </c>
      <c r="F395">
        <f>+_xlfn.ISOWEEKNUM(export?format_csv_gid_612082435[[#This Row],[Fecha]])</f>
        <v>21</v>
      </c>
      <c r="G395">
        <f>+YEAR(export?format_csv_gid_612082435[[#This Row],[Fecha]])</f>
        <v>2026</v>
      </c>
      <c r="H395" t="e">
        <f>+VLOOKUP(export?format_csv_gid_612082435[[#This Row],[Valor]],Listas!A:B,2,FALSE)</f>
        <v>#N/A</v>
      </c>
    </row>
    <row r="396" spans="1:8" hidden="1" x14ac:dyDescent="0.3">
      <c r="A396" t="s">
        <v>72</v>
      </c>
      <c r="B396" t="s">
        <v>84</v>
      </c>
      <c r="C396" t="s">
        <v>87</v>
      </c>
      <c r="D396" s="19">
        <v>46165</v>
      </c>
      <c r="E396" t="s">
        <v>77</v>
      </c>
      <c r="F396">
        <f>+_xlfn.ISOWEEKNUM(export?format_csv_gid_612082435[[#This Row],[Fecha]])</f>
        <v>21</v>
      </c>
      <c r="G396">
        <f>+YEAR(export?format_csv_gid_612082435[[#This Row],[Fecha]])</f>
        <v>2026</v>
      </c>
      <c r="H396" t="e">
        <f>+VLOOKUP(export?format_csv_gid_612082435[[#This Row],[Valor]],Listas!A:B,2,FALSE)</f>
        <v>#N/A</v>
      </c>
    </row>
    <row r="397" spans="1:8" hidden="1" x14ac:dyDescent="0.3">
      <c r="A397" t="s">
        <v>72</v>
      </c>
      <c r="B397" t="s">
        <v>84</v>
      </c>
      <c r="C397" t="s">
        <v>87</v>
      </c>
      <c r="D397" s="19">
        <v>46166</v>
      </c>
      <c r="E397" t="s">
        <v>77</v>
      </c>
      <c r="F397">
        <f>+_xlfn.ISOWEEKNUM(export?format_csv_gid_612082435[[#This Row],[Fecha]])</f>
        <v>21</v>
      </c>
      <c r="G397">
        <f>+YEAR(export?format_csv_gid_612082435[[#This Row],[Fecha]])</f>
        <v>2026</v>
      </c>
      <c r="H397" t="e">
        <f>+VLOOKUP(export?format_csv_gid_612082435[[#This Row],[Valor]],Listas!A:B,2,FALSE)</f>
        <v>#N/A</v>
      </c>
    </row>
    <row r="398" spans="1:8" hidden="1" x14ac:dyDescent="0.3">
      <c r="A398" t="s">
        <v>72</v>
      </c>
      <c r="B398" t="s">
        <v>84</v>
      </c>
      <c r="C398" t="s">
        <v>87</v>
      </c>
      <c r="D398" s="19">
        <v>46167</v>
      </c>
      <c r="E398" t="s">
        <v>77</v>
      </c>
      <c r="F398">
        <f>+_xlfn.ISOWEEKNUM(export?format_csv_gid_612082435[[#This Row],[Fecha]])</f>
        <v>22</v>
      </c>
      <c r="G398">
        <f>+YEAR(export?format_csv_gid_612082435[[#This Row],[Fecha]])</f>
        <v>2026</v>
      </c>
      <c r="H398" t="e">
        <f>+VLOOKUP(export?format_csv_gid_612082435[[#This Row],[Valor]],Listas!A:B,2,FALSE)</f>
        <v>#N/A</v>
      </c>
    </row>
    <row r="399" spans="1:8" hidden="1" x14ac:dyDescent="0.3">
      <c r="A399" t="s">
        <v>72</v>
      </c>
      <c r="B399" t="s">
        <v>84</v>
      </c>
      <c r="C399" t="s">
        <v>87</v>
      </c>
      <c r="D399" s="19">
        <v>46168</v>
      </c>
      <c r="E399" t="s">
        <v>77</v>
      </c>
      <c r="F399">
        <f>+_xlfn.ISOWEEKNUM(export?format_csv_gid_612082435[[#This Row],[Fecha]])</f>
        <v>22</v>
      </c>
      <c r="G399">
        <f>+YEAR(export?format_csv_gid_612082435[[#This Row],[Fecha]])</f>
        <v>2026</v>
      </c>
      <c r="H399" t="e">
        <f>+VLOOKUP(export?format_csv_gid_612082435[[#This Row],[Valor]],Listas!A:B,2,FALSE)</f>
        <v>#N/A</v>
      </c>
    </row>
    <row r="400" spans="1:8" hidden="1" x14ac:dyDescent="0.3">
      <c r="A400" t="s">
        <v>72</v>
      </c>
      <c r="B400" t="s">
        <v>84</v>
      </c>
      <c r="C400" t="s">
        <v>87</v>
      </c>
      <c r="D400" s="19">
        <v>46169</v>
      </c>
      <c r="E400" t="s">
        <v>77</v>
      </c>
      <c r="F400">
        <f>+_xlfn.ISOWEEKNUM(export?format_csv_gid_612082435[[#This Row],[Fecha]])</f>
        <v>22</v>
      </c>
      <c r="G400">
        <f>+YEAR(export?format_csv_gid_612082435[[#This Row],[Fecha]])</f>
        <v>2026</v>
      </c>
      <c r="H400" t="e">
        <f>+VLOOKUP(export?format_csv_gid_612082435[[#This Row],[Valor]],Listas!A:B,2,FALSE)</f>
        <v>#N/A</v>
      </c>
    </row>
    <row r="401" spans="1:8" hidden="1" x14ac:dyDescent="0.3">
      <c r="A401" t="s">
        <v>72</v>
      </c>
      <c r="B401" t="s">
        <v>84</v>
      </c>
      <c r="C401" t="s">
        <v>87</v>
      </c>
      <c r="D401" s="19">
        <v>46170</v>
      </c>
      <c r="E401" t="s">
        <v>77</v>
      </c>
      <c r="F401">
        <f>+_xlfn.ISOWEEKNUM(export?format_csv_gid_612082435[[#This Row],[Fecha]])</f>
        <v>22</v>
      </c>
      <c r="G401">
        <f>+YEAR(export?format_csv_gid_612082435[[#This Row],[Fecha]])</f>
        <v>2026</v>
      </c>
      <c r="H401" t="e">
        <f>+VLOOKUP(export?format_csv_gid_612082435[[#This Row],[Valor]],Listas!A:B,2,FALSE)</f>
        <v>#N/A</v>
      </c>
    </row>
    <row r="402" spans="1:8" hidden="1" x14ac:dyDescent="0.3">
      <c r="A402" t="s">
        <v>72</v>
      </c>
      <c r="B402" t="s">
        <v>84</v>
      </c>
      <c r="C402" t="s">
        <v>87</v>
      </c>
      <c r="D402" s="19">
        <v>46171</v>
      </c>
      <c r="E402" t="s">
        <v>77</v>
      </c>
      <c r="F402">
        <f>+_xlfn.ISOWEEKNUM(export?format_csv_gid_612082435[[#This Row],[Fecha]])</f>
        <v>22</v>
      </c>
      <c r="G402">
        <f>+YEAR(export?format_csv_gid_612082435[[#This Row],[Fecha]])</f>
        <v>2026</v>
      </c>
      <c r="H402" t="e">
        <f>+VLOOKUP(export?format_csv_gid_612082435[[#This Row],[Valor]],Listas!A:B,2,FALSE)</f>
        <v>#N/A</v>
      </c>
    </row>
    <row r="403" spans="1:8" hidden="1" x14ac:dyDescent="0.3">
      <c r="A403" t="s">
        <v>72</v>
      </c>
      <c r="B403" t="s">
        <v>84</v>
      </c>
      <c r="C403" t="s">
        <v>87</v>
      </c>
      <c r="D403" s="19">
        <v>46172</v>
      </c>
      <c r="E403" t="s">
        <v>77</v>
      </c>
      <c r="F403">
        <f>+_xlfn.ISOWEEKNUM(export?format_csv_gid_612082435[[#This Row],[Fecha]])</f>
        <v>22</v>
      </c>
      <c r="G403">
        <f>+YEAR(export?format_csv_gid_612082435[[#This Row],[Fecha]])</f>
        <v>2026</v>
      </c>
      <c r="H403" t="e">
        <f>+VLOOKUP(export?format_csv_gid_612082435[[#This Row],[Valor]],Listas!A:B,2,FALSE)</f>
        <v>#N/A</v>
      </c>
    </row>
    <row r="404" spans="1:8" hidden="1" x14ac:dyDescent="0.3">
      <c r="A404" t="s">
        <v>72</v>
      </c>
      <c r="B404" t="s">
        <v>84</v>
      </c>
      <c r="C404" t="s">
        <v>87</v>
      </c>
      <c r="D404" s="19">
        <v>46173</v>
      </c>
      <c r="E404" t="s">
        <v>77</v>
      </c>
      <c r="F404">
        <f>+_xlfn.ISOWEEKNUM(export?format_csv_gid_612082435[[#This Row],[Fecha]])</f>
        <v>22</v>
      </c>
      <c r="G404">
        <f>+YEAR(export?format_csv_gid_612082435[[#This Row],[Fecha]])</f>
        <v>2026</v>
      </c>
      <c r="H404" t="e">
        <f>+VLOOKUP(export?format_csv_gid_612082435[[#This Row],[Valor]],Listas!A:B,2,FALSE)</f>
        <v>#N/A</v>
      </c>
    </row>
    <row r="405" spans="1:8" hidden="1" x14ac:dyDescent="0.3">
      <c r="A405" t="s">
        <v>72</v>
      </c>
      <c r="B405" t="s">
        <v>84</v>
      </c>
      <c r="C405" t="s">
        <v>141</v>
      </c>
      <c r="D405" s="19">
        <v>46143</v>
      </c>
      <c r="E405" t="s">
        <v>114</v>
      </c>
      <c r="F405">
        <f>+_xlfn.ISOWEEKNUM(export?format_csv_gid_612082435[[#This Row],[Fecha]])</f>
        <v>18</v>
      </c>
      <c r="G405">
        <f>+YEAR(export?format_csv_gid_612082435[[#This Row],[Fecha]])</f>
        <v>2026</v>
      </c>
      <c r="H405" t="str">
        <f>+VLOOKUP(export?format_csv_gid_612082435[[#This Row],[Valor]],Listas!A:B,2,FALSE)</f>
        <v>Feriado</v>
      </c>
    </row>
    <row r="406" spans="1:8" hidden="1" x14ac:dyDescent="0.3">
      <c r="A406" t="s">
        <v>72</v>
      </c>
      <c r="B406" t="s">
        <v>84</v>
      </c>
      <c r="C406" t="s">
        <v>141</v>
      </c>
      <c r="D406" s="19">
        <v>46144</v>
      </c>
      <c r="E406" t="s">
        <v>113</v>
      </c>
      <c r="F406">
        <f>+_xlfn.ISOWEEKNUM(export?format_csv_gid_612082435[[#This Row],[Fecha]])</f>
        <v>18</v>
      </c>
      <c r="G406">
        <f>+YEAR(export?format_csv_gid_612082435[[#This Row],[Fecha]])</f>
        <v>2026</v>
      </c>
      <c r="H406" t="str">
        <f>+VLOOKUP(export?format_csv_gid_612082435[[#This Row],[Valor]],Listas!A:B,2,FALSE)</f>
        <v>D. Remunerado</v>
      </c>
    </row>
    <row r="407" spans="1:8" hidden="1" x14ac:dyDescent="0.3">
      <c r="A407" t="s">
        <v>72</v>
      </c>
      <c r="B407" t="s">
        <v>84</v>
      </c>
      <c r="C407" t="s">
        <v>141</v>
      </c>
      <c r="D407" s="19">
        <v>46145</v>
      </c>
      <c r="E407" t="s">
        <v>76</v>
      </c>
      <c r="F407">
        <f>+_xlfn.ISOWEEKNUM(export?format_csv_gid_612082435[[#This Row],[Fecha]])</f>
        <v>18</v>
      </c>
      <c r="G407">
        <f>+YEAR(export?format_csv_gid_612082435[[#This Row],[Fecha]])</f>
        <v>2026</v>
      </c>
      <c r="H407" t="str">
        <f>+VLOOKUP(export?format_csv_gid_612082435[[#This Row],[Valor]],Listas!A:B,2,FALSE)</f>
        <v>Asistencia</v>
      </c>
    </row>
    <row r="408" spans="1:8" hidden="1" x14ac:dyDescent="0.3">
      <c r="A408" t="s">
        <v>72</v>
      </c>
      <c r="B408" t="s">
        <v>84</v>
      </c>
      <c r="C408" t="s">
        <v>141</v>
      </c>
      <c r="D408" s="19">
        <v>46146</v>
      </c>
      <c r="E408" t="s">
        <v>76</v>
      </c>
      <c r="F408">
        <f>+_xlfn.ISOWEEKNUM(export?format_csv_gid_612082435[[#This Row],[Fecha]])</f>
        <v>19</v>
      </c>
      <c r="G408">
        <f>+YEAR(export?format_csv_gid_612082435[[#This Row],[Fecha]])</f>
        <v>2026</v>
      </c>
      <c r="H408" t="str">
        <f>+VLOOKUP(export?format_csv_gid_612082435[[#This Row],[Valor]],Listas!A:B,2,FALSE)</f>
        <v>Asistencia</v>
      </c>
    </row>
    <row r="409" spans="1:8" hidden="1" x14ac:dyDescent="0.3">
      <c r="A409" t="s">
        <v>72</v>
      </c>
      <c r="B409" t="s">
        <v>84</v>
      </c>
      <c r="C409" t="s">
        <v>141</v>
      </c>
      <c r="D409" s="19">
        <v>46147</v>
      </c>
      <c r="E409" t="s">
        <v>76</v>
      </c>
      <c r="F409">
        <f>+_xlfn.ISOWEEKNUM(export?format_csv_gid_612082435[[#This Row],[Fecha]])</f>
        <v>19</v>
      </c>
      <c r="G409">
        <f>+YEAR(export?format_csv_gid_612082435[[#This Row],[Fecha]])</f>
        <v>2026</v>
      </c>
      <c r="H409" t="str">
        <f>+VLOOKUP(export?format_csv_gid_612082435[[#This Row],[Valor]],Listas!A:B,2,FALSE)</f>
        <v>Asistencia</v>
      </c>
    </row>
    <row r="410" spans="1:8" hidden="1" x14ac:dyDescent="0.3">
      <c r="A410" t="s">
        <v>72</v>
      </c>
      <c r="B410" t="s">
        <v>84</v>
      </c>
      <c r="C410" t="s">
        <v>141</v>
      </c>
      <c r="D410" s="19">
        <v>46148</v>
      </c>
      <c r="E410" t="s">
        <v>76</v>
      </c>
      <c r="F410">
        <f>+_xlfn.ISOWEEKNUM(export?format_csv_gid_612082435[[#This Row],[Fecha]])</f>
        <v>19</v>
      </c>
      <c r="G410">
        <f>+YEAR(export?format_csv_gid_612082435[[#This Row],[Fecha]])</f>
        <v>2026</v>
      </c>
      <c r="H410" t="str">
        <f>+VLOOKUP(export?format_csv_gid_612082435[[#This Row],[Valor]],Listas!A:B,2,FALSE)</f>
        <v>Asistencia</v>
      </c>
    </row>
    <row r="411" spans="1:8" hidden="1" x14ac:dyDescent="0.3">
      <c r="A411" t="s">
        <v>72</v>
      </c>
      <c r="B411" t="s">
        <v>84</v>
      </c>
      <c r="C411" t="s">
        <v>141</v>
      </c>
      <c r="D411" s="19">
        <v>46149</v>
      </c>
      <c r="E411" t="s">
        <v>76</v>
      </c>
      <c r="F411">
        <f>+_xlfn.ISOWEEKNUM(export?format_csv_gid_612082435[[#This Row],[Fecha]])</f>
        <v>19</v>
      </c>
      <c r="G411">
        <f>+YEAR(export?format_csv_gid_612082435[[#This Row],[Fecha]])</f>
        <v>2026</v>
      </c>
      <c r="H411" t="str">
        <f>+VLOOKUP(export?format_csv_gid_612082435[[#This Row],[Valor]],Listas!A:B,2,FALSE)</f>
        <v>Asistencia</v>
      </c>
    </row>
    <row r="412" spans="1:8" hidden="1" x14ac:dyDescent="0.3">
      <c r="A412" t="s">
        <v>72</v>
      </c>
      <c r="B412" t="s">
        <v>84</v>
      </c>
      <c r="C412" t="s">
        <v>141</v>
      </c>
      <c r="D412" s="19">
        <v>46150</v>
      </c>
      <c r="E412" t="s">
        <v>76</v>
      </c>
      <c r="F412">
        <f>+_xlfn.ISOWEEKNUM(export?format_csv_gid_612082435[[#This Row],[Fecha]])</f>
        <v>19</v>
      </c>
      <c r="G412">
        <f>+YEAR(export?format_csv_gid_612082435[[#This Row],[Fecha]])</f>
        <v>2026</v>
      </c>
      <c r="H412" t="str">
        <f>+VLOOKUP(export?format_csv_gid_612082435[[#This Row],[Valor]],Listas!A:B,2,FALSE)</f>
        <v>Asistencia</v>
      </c>
    </row>
    <row r="413" spans="1:8" hidden="1" x14ac:dyDescent="0.3">
      <c r="A413" t="s">
        <v>72</v>
      </c>
      <c r="B413" t="s">
        <v>84</v>
      </c>
      <c r="C413" t="s">
        <v>141</v>
      </c>
      <c r="D413" s="19">
        <v>46151</v>
      </c>
      <c r="E413" t="s">
        <v>76</v>
      </c>
      <c r="F413">
        <f>+_xlfn.ISOWEEKNUM(export?format_csv_gid_612082435[[#This Row],[Fecha]])</f>
        <v>19</v>
      </c>
      <c r="G413">
        <f>+YEAR(export?format_csv_gid_612082435[[#This Row],[Fecha]])</f>
        <v>2026</v>
      </c>
      <c r="H413" t="str">
        <f>+VLOOKUP(export?format_csv_gid_612082435[[#This Row],[Valor]],Listas!A:B,2,FALSE)</f>
        <v>Asistencia</v>
      </c>
    </row>
    <row r="414" spans="1:8" hidden="1" x14ac:dyDescent="0.3">
      <c r="A414" t="s">
        <v>72</v>
      </c>
      <c r="B414" t="s">
        <v>84</v>
      </c>
      <c r="C414" t="s">
        <v>141</v>
      </c>
      <c r="D414" s="19">
        <v>46152</v>
      </c>
      <c r="E414" t="s">
        <v>76</v>
      </c>
      <c r="F414">
        <f>+_xlfn.ISOWEEKNUM(export?format_csv_gid_612082435[[#This Row],[Fecha]])</f>
        <v>19</v>
      </c>
      <c r="G414">
        <f>+YEAR(export?format_csv_gid_612082435[[#This Row],[Fecha]])</f>
        <v>2026</v>
      </c>
      <c r="H414" t="str">
        <f>+VLOOKUP(export?format_csv_gid_612082435[[#This Row],[Valor]],Listas!A:B,2,FALSE)</f>
        <v>Asistencia</v>
      </c>
    </row>
    <row r="415" spans="1:8" hidden="1" x14ac:dyDescent="0.3">
      <c r="A415" t="s">
        <v>72</v>
      </c>
      <c r="B415" t="s">
        <v>84</v>
      </c>
      <c r="C415" t="s">
        <v>141</v>
      </c>
      <c r="D415" s="19">
        <v>46153</v>
      </c>
      <c r="E415" t="s">
        <v>76</v>
      </c>
      <c r="F415">
        <f>+_xlfn.ISOWEEKNUM(export?format_csv_gid_612082435[[#This Row],[Fecha]])</f>
        <v>20</v>
      </c>
      <c r="G415">
        <f>+YEAR(export?format_csv_gid_612082435[[#This Row],[Fecha]])</f>
        <v>2026</v>
      </c>
      <c r="H415" t="str">
        <f>+VLOOKUP(export?format_csv_gid_612082435[[#This Row],[Valor]],Listas!A:B,2,FALSE)</f>
        <v>Asistencia</v>
      </c>
    </row>
    <row r="416" spans="1:8" hidden="1" x14ac:dyDescent="0.3">
      <c r="A416" t="s">
        <v>72</v>
      </c>
      <c r="B416" t="s">
        <v>84</v>
      </c>
      <c r="C416" t="s">
        <v>141</v>
      </c>
      <c r="D416" s="19">
        <v>46154</v>
      </c>
      <c r="E416" t="s">
        <v>76</v>
      </c>
      <c r="F416">
        <f>+_xlfn.ISOWEEKNUM(export?format_csv_gid_612082435[[#This Row],[Fecha]])</f>
        <v>20</v>
      </c>
      <c r="G416">
        <f>+YEAR(export?format_csv_gid_612082435[[#This Row],[Fecha]])</f>
        <v>2026</v>
      </c>
      <c r="H416" t="str">
        <f>+VLOOKUP(export?format_csv_gid_612082435[[#This Row],[Valor]],Listas!A:B,2,FALSE)</f>
        <v>Asistencia</v>
      </c>
    </row>
    <row r="417" spans="1:8" hidden="1" x14ac:dyDescent="0.3">
      <c r="A417" t="s">
        <v>72</v>
      </c>
      <c r="B417" t="s">
        <v>84</v>
      </c>
      <c r="C417" t="s">
        <v>141</v>
      </c>
      <c r="D417" s="19">
        <v>46155</v>
      </c>
      <c r="E417" t="s">
        <v>76</v>
      </c>
      <c r="F417">
        <f>+_xlfn.ISOWEEKNUM(export?format_csv_gid_612082435[[#This Row],[Fecha]])</f>
        <v>20</v>
      </c>
      <c r="G417">
        <f>+YEAR(export?format_csv_gid_612082435[[#This Row],[Fecha]])</f>
        <v>2026</v>
      </c>
      <c r="H417" t="str">
        <f>+VLOOKUP(export?format_csv_gid_612082435[[#This Row],[Valor]],Listas!A:B,2,FALSE)</f>
        <v>Asistencia</v>
      </c>
    </row>
    <row r="418" spans="1:8" hidden="1" x14ac:dyDescent="0.3">
      <c r="A418" t="s">
        <v>72</v>
      </c>
      <c r="B418" t="s">
        <v>84</v>
      </c>
      <c r="C418" t="s">
        <v>141</v>
      </c>
      <c r="D418" s="19">
        <v>46156</v>
      </c>
      <c r="E418" t="s">
        <v>76</v>
      </c>
      <c r="F418">
        <f>+_xlfn.ISOWEEKNUM(export?format_csv_gid_612082435[[#This Row],[Fecha]])</f>
        <v>20</v>
      </c>
      <c r="G418">
        <f>+YEAR(export?format_csv_gid_612082435[[#This Row],[Fecha]])</f>
        <v>2026</v>
      </c>
      <c r="H418" t="str">
        <f>+VLOOKUP(export?format_csv_gid_612082435[[#This Row],[Valor]],Listas!A:B,2,FALSE)</f>
        <v>Asistencia</v>
      </c>
    </row>
    <row r="419" spans="1:8" hidden="1" x14ac:dyDescent="0.3">
      <c r="A419" t="s">
        <v>72</v>
      </c>
      <c r="B419" t="s">
        <v>84</v>
      </c>
      <c r="C419" t="s">
        <v>141</v>
      </c>
      <c r="D419" s="19">
        <v>46157</v>
      </c>
      <c r="E419" t="s">
        <v>76</v>
      </c>
      <c r="F419">
        <f>+_xlfn.ISOWEEKNUM(export?format_csv_gid_612082435[[#This Row],[Fecha]])</f>
        <v>20</v>
      </c>
      <c r="G419">
        <f>+YEAR(export?format_csv_gid_612082435[[#This Row],[Fecha]])</f>
        <v>2026</v>
      </c>
      <c r="H419" t="str">
        <f>+VLOOKUP(export?format_csv_gid_612082435[[#This Row],[Valor]],Listas!A:B,2,FALSE)</f>
        <v>Asistencia</v>
      </c>
    </row>
    <row r="420" spans="1:8" hidden="1" x14ac:dyDescent="0.3">
      <c r="A420" t="s">
        <v>72</v>
      </c>
      <c r="B420" t="s">
        <v>84</v>
      </c>
      <c r="C420" t="s">
        <v>141</v>
      </c>
      <c r="D420" s="19">
        <v>46158</v>
      </c>
      <c r="E420" t="s">
        <v>77</v>
      </c>
      <c r="F420">
        <f>+_xlfn.ISOWEEKNUM(export?format_csv_gid_612082435[[#This Row],[Fecha]])</f>
        <v>20</v>
      </c>
      <c r="G420">
        <f>+YEAR(export?format_csv_gid_612082435[[#This Row],[Fecha]])</f>
        <v>2026</v>
      </c>
      <c r="H420" t="e">
        <f>+VLOOKUP(export?format_csv_gid_612082435[[#This Row],[Valor]],Listas!A:B,2,FALSE)</f>
        <v>#N/A</v>
      </c>
    </row>
    <row r="421" spans="1:8" hidden="1" x14ac:dyDescent="0.3">
      <c r="A421" t="s">
        <v>72</v>
      </c>
      <c r="B421" t="s">
        <v>84</v>
      </c>
      <c r="C421" t="s">
        <v>141</v>
      </c>
      <c r="D421" s="19">
        <v>46159</v>
      </c>
      <c r="E421" t="s">
        <v>77</v>
      </c>
      <c r="F421">
        <f>+_xlfn.ISOWEEKNUM(export?format_csv_gid_612082435[[#This Row],[Fecha]])</f>
        <v>20</v>
      </c>
      <c r="G421">
        <f>+YEAR(export?format_csv_gid_612082435[[#This Row],[Fecha]])</f>
        <v>2026</v>
      </c>
      <c r="H421" t="e">
        <f>+VLOOKUP(export?format_csv_gid_612082435[[#This Row],[Valor]],Listas!A:B,2,FALSE)</f>
        <v>#N/A</v>
      </c>
    </row>
    <row r="422" spans="1:8" hidden="1" x14ac:dyDescent="0.3">
      <c r="A422" t="s">
        <v>72</v>
      </c>
      <c r="B422" t="s">
        <v>84</v>
      </c>
      <c r="C422" t="s">
        <v>141</v>
      </c>
      <c r="D422" s="19">
        <v>46160</v>
      </c>
      <c r="E422" t="s">
        <v>77</v>
      </c>
      <c r="F422">
        <f>+_xlfn.ISOWEEKNUM(export?format_csv_gid_612082435[[#This Row],[Fecha]])</f>
        <v>21</v>
      </c>
      <c r="G422">
        <f>+YEAR(export?format_csv_gid_612082435[[#This Row],[Fecha]])</f>
        <v>2026</v>
      </c>
      <c r="H422" t="e">
        <f>+VLOOKUP(export?format_csv_gid_612082435[[#This Row],[Valor]],Listas!A:B,2,FALSE)</f>
        <v>#N/A</v>
      </c>
    </row>
    <row r="423" spans="1:8" hidden="1" x14ac:dyDescent="0.3">
      <c r="A423" t="s">
        <v>72</v>
      </c>
      <c r="B423" t="s">
        <v>84</v>
      </c>
      <c r="C423" t="s">
        <v>141</v>
      </c>
      <c r="D423" s="19">
        <v>46161</v>
      </c>
      <c r="E423" t="s">
        <v>77</v>
      </c>
      <c r="F423">
        <f>+_xlfn.ISOWEEKNUM(export?format_csv_gid_612082435[[#This Row],[Fecha]])</f>
        <v>21</v>
      </c>
      <c r="G423">
        <f>+YEAR(export?format_csv_gid_612082435[[#This Row],[Fecha]])</f>
        <v>2026</v>
      </c>
      <c r="H423" t="e">
        <f>+VLOOKUP(export?format_csv_gid_612082435[[#This Row],[Valor]],Listas!A:B,2,FALSE)</f>
        <v>#N/A</v>
      </c>
    </row>
    <row r="424" spans="1:8" hidden="1" x14ac:dyDescent="0.3">
      <c r="A424" t="s">
        <v>72</v>
      </c>
      <c r="B424" t="s">
        <v>84</v>
      </c>
      <c r="C424" t="s">
        <v>141</v>
      </c>
      <c r="D424" s="19">
        <v>46162</v>
      </c>
      <c r="E424" t="s">
        <v>77</v>
      </c>
      <c r="F424">
        <f>+_xlfn.ISOWEEKNUM(export?format_csv_gid_612082435[[#This Row],[Fecha]])</f>
        <v>21</v>
      </c>
      <c r="G424">
        <f>+YEAR(export?format_csv_gid_612082435[[#This Row],[Fecha]])</f>
        <v>2026</v>
      </c>
      <c r="H424" t="e">
        <f>+VLOOKUP(export?format_csv_gid_612082435[[#This Row],[Valor]],Listas!A:B,2,FALSE)</f>
        <v>#N/A</v>
      </c>
    </row>
    <row r="425" spans="1:8" hidden="1" x14ac:dyDescent="0.3">
      <c r="A425" t="s">
        <v>72</v>
      </c>
      <c r="B425" t="s">
        <v>84</v>
      </c>
      <c r="C425" t="s">
        <v>141</v>
      </c>
      <c r="D425" s="19">
        <v>46163</v>
      </c>
      <c r="E425" t="s">
        <v>77</v>
      </c>
      <c r="F425">
        <f>+_xlfn.ISOWEEKNUM(export?format_csv_gid_612082435[[#This Row],[Fecha]])</f>
        <v>21</v>
      </c>
      <c r="G425">
        <f>+YEAR(export?format_csv_gid_612082435[[#This Row],[Fecha]])</f>
        <v>2026</v>
      </c>
      <c r="H425" t="e">
        <f>+VLOOKUP(export?format_csv_gid_612082435[[#This Row],[Valor]],Listas!A:B,2,FALSE)</f>
        <v>#N/A</v>
      </c>
    </row>
    <row r="426" spans="1:8" hidden="1" x14ac:dyDescent="0.3">
      <c r="A426" t="s">
        <v>72</v>
      </c>
      <c r="B426" t="s">
        <v>84</v>
      </c>
      <c r="C426" t="s">
        <v>141</v>
      </c>
      <c r="D426" s="19">
        <v>46164</v>
      </c>
      <c r="E426" t="s">
        <v>77</v>
      </c>
      <c r="F426">
        <f>+_xlfn.ISOWEEKNUM(export?format_csv_gid_612082435[[#This Row],[Fecha]])</f>
        <v>21</v>
      </c>
      <c r="G426">
        <f>+YEAR(export?format_csv_gid_612082435[[#This Row],[Fecha]])</f>
        <v>2026</v>
      </c>
      <c r="H426" t="e">
        <f>+VLOOKUP(export?format_csv_gid_612082435[[#This Row],[Valor]],Listas!A:B,2,FALSE)</f>
        <v>#N/A</v>
      </c>
    </row>
    <row r="427" spans="1:8" hidden="1" x14ac:dyDescent="0.3">
      <c r="A427" t="s">
        <v>72</v>
      </c>
      <c r="B427" t="s">
        <v>84</v>
      </c>
      <c r="C427" t="s">
        <v>141</v>
      </c>
      <c r="D427" s="19">
        <v>46165</v>
      </c>
      <c r="E427" t="s">
        <v>77</v>
      </c>
      <c r="F427">
        <f>+_xlfn.ISOWEEKNUM(export?format_csv_gid_612082435[[#This Row],[Fecha]])</f>
        <v>21</v>
      </c>
      <c r="G427">
        <f>+YEAR(export?format_csv_gid_612082435[[#This Row],[Fecha]])</f>
        <v>2026</v>
      </c>
      <c r="H427" t="e">
        <f>+VLOOKUP(export?format_csv_gid_612082435[[#This Row],[Valor]],Listas!A:B,2,FALSE)</f>
        <v>#N/A</v>
      </c>
    </row>
    <row r="428" spans="1:8" hidden="1" x14ac:dyDescent="0.3">
      <c r="A428" t="s">
        <v>72</v>
      </c>
      <c r="B428" t="s">
        <v>84</v>
      </c>
      <c r="C428" t="s">
        <v>141</v>
      </c>
      <c r="D428" s="19">
        <v>46166</v>
      </c>
      <c r="E428" t="s">
        <v>77</v>
      </c>
      <c r="F428">
        <f>+_xlfn.ISOWEEKNUM(export?format_csv_gid_612082435[[#This Row],[Fecha]])</f>
        <v>21</v>
      </c>
      <c r="G428">
        <f>+YEAR(export?format_csv_gid_612082435[[#This Row],[Fecha]])</f>
        <v>2026</v>
      </c>
      <c r="H428" t="e">
        <f>+VLOOKUP(export?format_csv_gid_612082435[[#This Row],[Valor]],Listas!A:B,2,FALSE)</f>
        <v>#N/A</v>
      </c>
    </row>
    <row r="429" spans="1:8" hidden="1" x14ac:dyDescent="0.3">
      <c r="A429" t="s">
        <v>72</v>
      </c>
      <c r="B429" t="s">
        <v>84</v>
      </c>
      <c r="C429" t="s">
        <v>141</v>
      </c>
      <c r="D429" s="19">
        <v>46167</v>
      </c>
      <c r="E429" t="s">
        <v>77</v>
      </c>
      <c r="F429">
        <f>+_xlfn.ISOWEEKNUM(export?format_csv_gid_612082435[[#This Row],[Fecha]])</f>
        <v>22</v>
      </c>
      <c r="G429">
        <f>+YEAR(export?format_csv_gid_612082435[[#This Row],[Fecha]])</f>
        <v>2026</v>
      </c>
      <c r="H429" t="e">
        <f>+VLOOKUP(export?format_csv_gid_612082435[[#This Row],[Valor]],Listas!A:B,2,FALSE)</f>
        <v>#N/A</v>
      </c>
    </row>
    <row r="430" spans="1:8" hidden="1" x14ac:dyDescent="0.3">
      <c r="A430" t="s">
        <v>72</v>
      </c>
      <c r="B430" t="s">
        <v>84</v>
      </c>
      <c r="C430" t="s">
        <v>141</v>
      </c>
      <c r="D430" s="19">
        <v>46168</v>
      </c>
      <c r="E430" t="s">
        <v>77</v>
      </c>
      <c r="F430">
        <f>+_xlfn.ISOWEEKNUM(export?format_csv_gid_612082435[[#This Row],[Fecha]])</f>
        <v>22</v>
      </c>
      <c r="G430">
        <f>+YEAR(export?format_csv_gid_612082435[[#This Row],[Fecha]])</f>
        <v>2026</v>
      </c>
      <c r="H430" t="e">
        <f>+VLOOKUP(export?format_csv_gid_612082435[[#This Row],[Valor]],Listas!A:B,2,FALSE)</f>
        <v>#N/A</v>
      </c>
    </row>
    <row r="431" spans="1:8" hidden="1" x14ac:dyDescent="0.3">
      <c r="A431" t="s">
        <v>72</v>
      </c>
      <c r="B431" t="s">
        <v>84</v>
      </c>
      <c r="C431" t="s">
        <v>141</v>
      </c>
      <c r="D431" s="19">
        <v>46169</v>
      </c>
      <c r="E431" t="s">
        <v>77</v>
      </c>
      <c r="F431">
        <f>+_xlfn.ISOWEEKNUM(export?format_csv_gid_612082435[[#This Row],[Fecha]])</f>
        <v>22</v>
      </c>
      <c r="G431">
        <f>+YEAR(export?format_csv_gid_612082435[[#This Row],[Fecha]])</f>
        <v>2026</v>
      </c>
      <c r="H431" t="e">
        <f>+VLOOKUP(export?format_csv_gid_612082435[[#This Row],[Valor]],Listas!A:B,2,FALSE)</f>
        <v>#N/A</v>
      </c>
    </row>
    <row r="432" spans="1:8" hidden="1" x14ac:dyDescent="0.3">
      <c r="A432" t="s">
        <v>72</v>
      </c>
      <c r="B432" t="s">
        <v>84</v>
      </c>
      <c r="C432" t="s">
        <v>141</v>
      </c>
      <c r="D432" s="19">
        <v>46170</v>
      </c>
      <c r="E432" t="s">
        <v>77</v>
      </c>
      <c r="F432">
        <f>+_xlfn.ISOWEEKNUM(export?format_csv_gid_612082435[[#This Row],[Fecha]])</f>
        <v>22</v>
      </c>
      <c r="G432">
        <f>+YEAR(export?format_csv_gid_612082435[[#This Row],[Fecha]])</f>
        <v>2026</v>
      </c>
      <c r="H432" t="e">
        <f>+VLOOKUP(export?format_csv_gid_612082435[[#This Row],[Valor]],Listas!A:B,2,FALSE)</f>
        <v>#N/A</v>
      </c>
    </row>
    <row r="433" spans="1:8" hidden="1" x14ac:dyDescent="0.3">
      <c r="A433" t="s">
        <v>72</v>
      </c>
      <c r="B433" t="s">
        <v>84</v>
      </c>
      <c r="C433" t="s">
        <v>141</v>
      </c>
      <c r="D433" s="19">
        <v>46171</v>
      </c>
      <c r="E433" t="s">
        <v>77</v>
      </c>
      <c r="F433">
        <f>+_xlfn.ISOWEEKNUM(export?format_csv_gid_612082435[[#This Row],[Fecha]])</f>
        <v>22</v>
      </c>
      <c r="G433">
        <f>+YEAR(export?format_csv_gid_612082435[[#This Row],[Fecha]])</f>
        <v>2026</v>
      </c>
      <c r="H433" t="e">
        <f>+VLOOKUP(export?format_csv_gid_612082435[[#This Row],[Valor]],Listas!A:B,2,FALSE)</f>
        <v>#N/A</v>
      </c>
    </row>
    <row r="434" spans="1:8" hidden="1" x14ac:dyDescent="0.3">
      <c r="A434" t="s">
        <v>72</v>
      </c>
      <c r="B434" t="s">
        <v>84</v>
      </c>
      <c r="C434" t="s">
        <v>141</v>
      </c>
      <c r="D434" s="19">
        <v>46172</v>
      </c>
      <c r="E434" t="s">
        <v>77</v>
      </c>
      <c r="F434">
        <f>+_xlfn.ISOWEEKNUM(export?format_csv_gid_612082435[[#This Row],[Fecha]])</f>
        <v>22</v>
      </c>
      <c r="G434">
        <f>+YEAR(export?format_csv_gid_612082435[[#This Row],[Fecha]])</f>
        <v>2026</v>
      </c>
      <c r="H434" t="e">
        <f>+VLOOKUP(export?format_csv_gid_612082435[[#This Row],[Valor]],Listas!A:B,2,FALSE)</f>
        <v>#N/A</v>
      </c>
    </row>
    <row r="435" spans="1:8" hidden="1" x14ac:dyDescent="0.3">
      <c r="A435" t="s">
        <v>72</v>
      </c>
      <c r="B435" t="s">
        <v>84</v>
      </c>
      <c r="C435" t="s">
        <v>141</v>
      </c>
      <c r="D435" s="19">
        <v>46173</v>
      </c>
      <c r="E435" t="s">
        <v>77</v>
      </c>
      <c r="F435">
        <f>+_xlfn.ISOWEEKNUM(export?format_csv_gid_612082435[[#This Row],[Fecha]])</f>
        <v>22</v>
      </c>
      <c r="G435">
        <f>+YEAR(export?format_csv_gid_612082435[[#This Row],[Fecha]])</f>
        <v>2026</v>
      </c>
      <c r="H435" t="e">
        <f>+VLOOKUP(export?format_csv_gid_612082435[[#This Row],[Valor]],Listas!A:B,2,FALSE)</f>
        <v>#N/A</v>
      </c>
    </row>
    <row r="436" spans="1:8" hidden="1" x14ac:dyDescent="0.3">
      <c r="A436" t="s">
        <v>83</v>
      </c>
      <c r="B436" t="s">
        <v>88</v>
      </c>
      <c r="C436" t="s">
        <v>153</v>
      </c>
      <c r="D436" s="19">
        <v>46143</v>
      </c>
      <c r="E436" t="s">
        <v>85</v>
      </c>
      <c r="F436">
        <f>+_xlfn.ISOWEEKNUM(export?format_csv_gid_612082435[[#This Row],[Fecha]])</f>
        <v>18</v>
      </c>
      <c r="G436">
        <f>+YEAR(export?format_csv_gid_612082435[[#This Row],[Fecha]])</f>
        <v>2026</v>
      </c>
      <c r="H436" t="e">
        <f>+VLOOKUP(export?format_csv_gid_612082435[[#This Row],[Valor]],Listas!A:B,2,FALSE)</f>
        <v>#N/A</v>
      </c>
    </row>
    <row r="437" spans="1:8" hidden="1" x14ac:dyDescent="0.3">
      <c r="A437" t="s">
        <v>83</v>
      </c>
      <c r="B437" t="s">
        <v>88</v>
      </c>
      <c r="C437" t="s">
        <v>153</v>
      </c>
      <c r="D437" s="19">
        <v>46144</v>
      </c>
      <c r="E437" t="s">
        <v>85</v>
      </c>
      <c r="F437">
        <f>+_xlfn.ISOWEEKNUM(export?format_csv_gid_612082435[[#This Row],[Fecha]])</f>
        <v>18</v>
      </c>
      <c r="G437">
        <f>+YEAR(export?format_csv_gid_612082435[[#This Row],[Fecha]])</f>
        <v>2026</v>
      </c>
      <c r="H437" t="e">
        <f>+VLOOKUP(export?format_csv_gid_612082435[[#This Row],[Valor]],Listas!A:B,2,FALSE)</f>
        <v>#N/A</v>
      </c>
    </row>
    <row r="438" spans="1:8" hidden="1" x14ac:dyDescent="0.3">
      <c r="A438" t="s">
        <v>83</v>
      </c>
      <c r="B438" t="s">
        <v>88</v>
      </c>
      <c r="C438" t="s">
        <v>153</v>
      </c>
      <c r="D438" s="19">
        <v>46145</v>
      </c>
      <c r="E438" t="s">
        <v>85</v>
      </c>
      <c r="F438">
        <f>+_xlfn.ISOWEEKNUM(export?format_csv_gid_612082435[[#This Row],[Fecha]])</f>
        <v>18</v>
      </c>
      <c r="G438">
        <f>+YEAR(export?format_csv_gid_612082435[[#This Row],[Fecha]])</f>
        <v>2026</v>
      </c>
      <c r="H438" t="e">
        <f>+VLOOKUP(export?format_csv_gid_612082435[[#This Row],[Valor]],Listas!A:B,2,FALSE)</f>
        <v>#N/A</v>
      </c>
    </row>
    <row r="439" spans="1:8" hidden="1" x14ac:dyDescent="0.3">
      <c r="A439" t="s">
        <v>83</v>
      </c>
      <c r="B439" t="s">
        <v>88</v>
      </c>
      <c r="C439" t="s">
        <v>153</v>
      </c>
      <c r="D439" s="19">
        <v>46146</v>
      </c>
      <c r="E439" t="s">
        <v>85</v>
      </c>
      <c r="F439">
        <f>+_xlfn.ISOWEEKNUM(export?format_csv_gid_612082435[[#This Row],[Fecha]])</f>
        <v>19</v>
      </c>
      <c r="G439">
        <f>+YEAR(export?format_csv_gid_612082435[[#This Row],[Fecha]])</f>
        <v>2026</v>
      </c>
      <c r="H439" t="e">
        <f>+VLOOKUP(export?format_csv_gid_612082435[[#This Row],[Valor]],Listas!A:B,2,FALSE)</f>
        <v>#N/A</v>
      </c>
    </row>
    <row r="440" spans="1:8" hidden="1" x14ac:dyDescent="0.3">
      <c r="A440" t="s">
        <v>83</v>
      </c>
      <c r="B440" t="s">
        <v>88</v>
      </c>
      <c r="C440" t="s">
        <v>153</v>
      </c>
      <c r="D440" s="19">
        <v>46147</v>
      </c>
      <c r="E440" t="s">
        <v>85</v>
      </c>
      <c r="F440">
        <f>+_xlfn.ISOWEEKNUM(export?format_csv_gid_612082435[[#This Row],[Fecha]])</f>
        <v>19</v>
      </c>
      <c r="G440">
        <f>+YEAR(export?format_csv_gid_612082435[[#This Row],[Fecha]])</f>
        <v>2026</v>
      </c>
      <c r="H440" t="e">
        <f>+VLOOKUP(export?format_csv_gid_612082435[[#This Row],[Valor]],Listas!A:B,2,FALSE)</f>
        <v>#N/A</v>
      </c>
    </row>
    <row r="441" spans="1:8" hidden="1" x14ac:dyDescent="0.3">
      <c r="A441" t="s">
        <v>83</v>
      </c>
      <c r="B441" t="s">
        <v>88</v>
      </c>
      <c r="C441" t="s">
        <v>153</v>
      </c>
      <c r="D441" s="19">
        <v>46148</v>
      </c>
      <c r="E441" t="s">
        <v>85</v>
      </c>
      <c r="F441">
        <f>+_xlfn.ISOWEEKNUM(export?format_csv_gid_612082435[[#This Row],[Fecha]])</f>
        <v>19</v>
      </c>
      <c r="G441">
        <f>+YEAR(export?format_csv_gid_612082435[[#This Row],[Fecha]])</f>
        <v>2026</v>
      </c>
      <c r="H441" t="e">
        <f>+VLOOKUP(export?format_csv_gid_612082435[[#This Row],[Valor]],Listas!A:B,2,FALSE)</f>
        <v>#N/A</v>
      </c>
    </row>
    <row r="442" spans="1:8" hidden="1" x14ac:dyDescent="0.3">
      <c r="A442" t="s">
        <v>83</v>
      </c>
      <c r="B442" t="s">
        <v>88</v>
      </c>
      <c r="C442" t="s">
        <v>153</v>
      </c>
      <c r="D442" s="19">
        <v>46149</v>
      </c>
      <c r="E442" t="s">
        <v>85</v>
      </c>
      <c r="F442">
        <f>+_xlfn.ISOWEEKNUM(export?format_csv_gid_612082435[[#This Row],[Fecha]])</f>
        <v>19</v>
      </c>
      <c r="G442">
        <f>+YEAR(export?format_csv_gid_612082435[[#This Row],[Fecha]])</f>
        <v>2026</v>
      </c>
      <c r="H442" t="e">
        <f>+VLOOKUP(export?format_csv_gid_612082435[[#This Row],[Valor]],Listas!A:B,2,FALSE)</f>
        <v>#N/A</v>
      </c>
    </row>
    <row r="443" spans="1:8" hidden="1" x14ac:dyDescent="0.3">
      <c r="A443" t="s">
        <v>83</v>
      </c>
      <c r="B443" t="s">
        <v>88</v>
      </c>
      <c r="C443" t="s">
        <v>153</v>
      </c>
      <c r="D443" s="19">
        <v>46150</v>
      </c>
      <c r="E443" t="s">
        <v>85</v>
      </c>
      <c r="F443">
        <f>+_xlfn.ISOWEEKNUM(export?format_csv_gid_612082435[[#This Row],[Fecha]])</f>
        <v>19</v>
      </c>
      <c r="G443">
        <f>+YEAR(export?format_csv_gid_612082435[[#This Row],[Fecha]])</f>
        <v>2026</v>
      </c>
      <c r="H443" t="e">
        <f>+VLOOKUP(export?format_csv_gid_612082435[[#This Row],[Valor]],Listas!A:B,2,FALSE)</f>
        <v>#N/A</v>
      </c>
    </row>
    <row r="444" spans="1:8" hidden="1" x14ac:dyDescent="0.3">
      <c r="A444" t="s">
        <v>83</v>
      </c>
      <c r="B444" t="s">
        <v>88</v>
      </c>
      <c r="C444" t="s">
        <v>153</v>
      </c>
      <c r="D444" s="19">
        <v>46151</v>
      </c>
      <c r="E444" t="s">
        <v>85</v>
      </c>
      <c r="F444">
        <f>+_xlfn.ISOWEEKNUM(export?format_csv_gid_612082435[[#This Row],[Fecha]])</f>
        <v>19</v>
      </c>
      <c r="G444">
        <f>+YEAR(export?format_csv_gid_612082435[[#This Row],[Fecha]])</f>
        <v>2026</v>
      </c>
      <c r="H444" t="e">
        <f>+VLOOKUP(export?format_csv_gid_612082435[[#This Row],[Valor]],Listas!A:B,2,FALSE)</f>
        <v>#N/A</v>
      </c>
    </row>
    <row r="445" spans="1:8" hidden="1" x14ac:dyDescent="0.3">
      <c r="A445" t="s">
        <v>83</v>
      </c>
      <c r="B445" t="s">
        <v>88</v>
      </c>
      <c r="C445" t="s">
        <v>153</v>
      </c>
      <c r="D445" s="19">
        <v>46152</v>
      </c>
      <c r="E445" t="s">
        <v>85</v>
      </c>
      <c r="F445">
        <f>+_xlfn.ISOWEEKNUM(export?format_csv_gid_612082435[[#This Row],[Fecha]])</f>
        <v>19</v>
      </c>
      <c r="G445">
        <f>+YEAR(export?format_csv_gid_612082435[[#This Row],[Fecha]])</f>
        <v>2026</v>
      </c>
      <c r="H445" t="e">
        <f>+VLOOKUP(export?format_csv_gid_612082435[[#This Row],[Valor]],Listas!A:B,2,FALSE)</f>
        <v>#N/A</v>
      </c>
    </row>
    <row r="446" spans="1:8" hidden="1" x14ac:dyDescent="0.3">
      <c r="A446" t="s">
        <v>83</v>
      </c>
      <c r="B446" t="s">
        <v>88</v>
      </c>
      <c r="C446" t="s">
        <v>153</v>
      </c>
      <c r="D446" s="19">
        <v>46153</v>
      </c>
      <c r="E446" t="s">
        <v>85</v>
      </c>
      <c r="F446">
        <f>+_xlfn.ISOWEEKNUM(export?format_csv_gid_612082435[[#This Row],[Fecha]])</f>
        <v>20</v>
      </c>
      <c r="G446">
        <f>+YEAR(export?format_csv_gid_612082435[[#This Row],[Fecha]])</f>
        <v>2026</v>
      </c>
      <c r="H446" t="e">
        <f>+VLOOKUP(export?format_csv_gid_612082435[[#This Row],[Valor]],Listas!A:B,2,FALSE)</f>
        <v>#N/A</v>
      </c>
    </row>
    <row r="447" spans="1:8" hidden="1" x14ac:dyDescent="0.3">
      <c r="A447" t="s">
        <v>83</v>
      </c>
      <c r="B447" t="s">
        <v>88</v>
      </c>
      <c r="C447" t="s">
        <v>153</v>
      </c>
      <c r="D447" s="19">
        <v>46154</v>
      </c>
      <c r="E447" t="s">
        <v>85</v>
      </c>
      <c r="F447">
        <f>+_xlfn.ISOWEEKNUM(export?format_csv_gid_612082435[[#This Row],[Fecha]])</f>
        <v>20</v>
      </c>
      <c r="G447">
        <f>+YEAR(export?format_csv_gid_612082435[[#This Row],[Fecha]])</f>
        <v>2026</v>
      </c>
      <c r="H447" t="e">
        <f>+VLOOKUP(export?format_csv_gid_612082435[[#This Row],[Valor]],Listas!A:B,2,FALSE)</f>
        <v>#N/A</v>
      </c>
    </row>
    <row r="448" spans="1:8" hidden="1" x14ac:dyDescent="0.3">
      <c r="A448" t="s">
        <v>83</v>
      </c>
      <c r="B448" t="s">
        <v>88</v>
      </c>
      <c r="C448" t="s">
        <v>153</v>
      </c>
      <c r="D448" s="19">
        <v>46155</v>
      </c>
      <c r="E448" t="s">
        <v>77</v>
      </c>
      <c r="F448">
        <f>+_xlfn.ISOWEEKNUM(export?format_csv_gid_612082435[[#This Row],[Fecha]])</f>
        <v>20</v>
      </c>
      <c r="G448">
        <f>+YEAR(export?format_csv_gid_612082435[[#This Row],[Fecha]])</f>
        <v>2026</v>
      </c>
      <c r="H448" t="e">
        <f>+VLOOKUP(export?format_csv_gid_612082435[[#This Row],[Valor]],Listas!A:B,2,FALSE)</f>
        <v>#N/A</v>
      </c>
    </row>
    <row r="449" spans="1:8" hidden="1" x14ac:dyDescent="0.3">
      <c r="A449" t="s">
        <v>83</v>
      </c>
      <c r="B449" t="s">
        <v>88</v>
      </c>
      <c r="C449" t="s">
        <v>153</v>
      </c>
      <c r="D449" s="19">
        <v>46156</v>
      </c>
      <c r="E449" t="s">
        <v>77</v>
      </c>
      <c r="F449">
        <f>+_xlfn.ISOWEEKNUM(export?format_csv_gid_612082435[[#This Row],[Fecha]])</f>
        <v>20</v>
      </c>
      <c r="G449">
        <f>+YEAR(export?format_csv_gid_612082435[[#This Row],[Fecha]])</f>
        <v>2026</v>
      </c>
      <c r="H449" t="e">
        <f>+VLOOKUP(export?format_csv_gid_612082435[[#This Row],[Valor]],Listas!A:B,2,FALSE)</f>
        <v>#N/A</v>
      </c>
    </row>
    <row r="450" spans="1:8" hidden="1" x14ac:dyDescent="0.3">
      <c r="A450" t="s">
        <v>83</v>
      </c>
      <c r="B450" t="s">
        <v>88</v>
      </c>
      <c r="C450" t="s">
        <v>153</v>
      </c>
      <c r="D450" s="19">
        <v>46157</v>
      </c>
      <c r="E450" t="s">
        <v>77</v>
      </c>
      <c r="F450">
        <f>+_xlfn.ISOWEEKNUM(export?format_csv_gid_612082435[[#This Row],[Fecha]])</f>
        <v>20</v>
      </c>
      <c r="G450">
        <f>+YEAR(export?format_csv_gid_612082435[[#This Row],[Fecha]])</f>
        <v>2026</v>
      </c>
      <c r="H450" t="e">
        <f>+VLOOKUP(export?format_csv_gid_612082435[[#This Row],[Valor]],Listas!A:B,2,FALSE)</f>
        <v>#N/A</v>
      </c>
    </row>
    <row r="451" spans="1:8" hidden="1" x14ac:dyDescent="0.3">
      <c r="A451" t="s">
        <v>83</v>
      </c>
      <c r="B451" t="s">
        <v>88</v>
      </c>
      <c r="C451" t="s">
        <v>153</v>
      </c>
      <c r="D451" s="19">
        <v>46158</v>
      </c>
      <c r="E451" t="s">
        <v>77</v>
      </c>
      <c r="F451">
        <f>+_xlfn.ISOWEEKNUM(export?format_csv_gid_612082435[[#This Row],[Fecha]])</f>
        <v>20</v>
      </c>
      <c r="G451">
        <f>+YEAR(export?format_csv_gid_612082435[[#This Row],[Fecha]])</f>
        <v>2026</v>
      </c>
      <c r="H451" t="e">
        <f>+VLOOKUP(export?format_csv_gid_612082435[[#This Row],[Valor]],Listas!A:B,2,FALSE)</f>
        <v>#N/A</v>
      </c>
    </row>
    <row r="452" spans="1:8" hidden="1" x14ac:dyDescent="0.3">
      <c r="A452" t="s">
        <v>83</v>
      </c>
      <c r="B452" t="s">
        <v>88</v>
      </c>
      <c r="C452" t="s">
        <v>153</v>
      </c>
      <c r="D452" s="19">
        <v>46159</v>
      </c>
      <c r="E452" t="s">
        <v>77</v>
      </c>
      <c r="F452">
        <f>+_xlfn.ISOWEEKNUM(export?format_csv_gid_612082435[[#This Row],[Fecha]])</f>
        <v>20</v>
      </c>
      <c r="G452">
        <f>+YEAR(export?format_csv_gid_612082435[[#This Row],[Fecha]])</f>
        <v>2026</v>
      </c>
      <c r="H452" t="e">
        <f>+VLOOKUP(export?format_csv_gid_612082435[[#This Row],[Valor]],Listas!A:B,2,FALSE)</f>
        <v>#N/A</v>
      </c>
    </row>
    <row r="453" spans="1:8" hidden="1" x14ac:dyDescent="0.3">
      <c r="A453" t="s">
        <v>83</v>
      </c>
      <c r="B453" t="s">
        <v>88</v>
      </c>
      <c r="C453" t="s">
        <v>153</v>
      </c>
      <c r="D453" s="19">
        <v>46160</v>
      </c>
      <c r="E453" t="s">
        <v>77</v>
      </c>
      <c r="F453">
        <f>+_xlfn.ISOWEEKNUM(export?format_csv_gid_612082435[[#This Row],[Fecha]])</f>
        <v>21</v>
      </c>
      <c r="G453">
        <f>+YEAR(export?format_csv_gid_612082435[[#This Row],[Fecha]])</f>
        <v>2026</v>
      </c>
      <c r="H453" t="e">
        <f>+VLOOKUP(export?format_csv_gid_612082435[[#This Row],[Valor]],Listas!A:B,2,FALSE)</f>
        <v>#N/A</v>
      </c>
    </row>
    <row r="454" spans="1:8" hidden="1" x14ac:dyDescent="0.3">
      <c r="A454" t="s">
        <v>83</v>
      </c>
      <c r="B454" t="s">
        <v>88</v>
      </c>
      <c r="C454" t="s">
        <v>153</v>
      </c>
      <c r="D454" s="19">
        <v>46161</v>
      </c>
      <c r="E454" t="s">
        <v>77</v>
      </c>
      <c r="F454">
        <f>+_xlfn.ISOWEEKNUM(export?format_csv_gid_612082435[[#This Row],[Fecha]])</f>
        <v>21</v>
      </c>
      <c r="G454">
        <f>+YEAR(export?format_csv_gid_612082435[[#This Row],[Fecha]])</f>
        <v>2026</v>
      </c>
      <c r="H454" t="e">
        <f>+VLOOKUP(export?format_csv_gid_612082435[[#This Row],[Valor]],Listas!A:B,2,FALSE)</f>
        <v>#N/A</v>
      </c>
    </row>
    <row r="455" spans="1:8" hidden="1" x14ac:dyDescent="0.3">
      <c r="A455" t="s">
        <v>83</v>
      </c>
      <c r="B455" t="s">
        <v>88</v>
      </c>
      <c r="C455" t="s">
        <v>153</v>
      </c>
      <c r="D455" s="19">
        <v>46162</v>
      </c>
      <c r="E455" t="s">
        <v>77</v>
      </c>
      <c r="F455">
        <f>+_xlfn.ISOWEEKNUM(export?format_csv_gid_612082435[[#This Row],[Fecha]])</f>
        <v>21</v>
      </c>
      <c r="G455">
        <f>+YEAR(export?format_csv_gid_612082435[[#This Row],[Fecha]])</f>
        <v>2026</v>
      </c>
      <c r="H455" t="e">
        <f>+VLOOKUP(export?format_csv_gid_612082435[[#This Row],[Valor]],Listas!A:B,2,FALSE)</f>
        <v>#N/A</v>
      </c>
    </row>
    <row r="456" spans="1:8" hidden="1" x14ac:dyDescent="0.3">
      <c r="A456" t="s">
        <v>83</v>
      </c>
      <c r="B456" t="s">
        <v>88</v>
      </c>
      <c r="C456" t="s">
        <v>153</v>
      </c>
      <c r="D456" s="19">
        <v>46163</v>
      </c>
      <c r="E456" t="s">
        <v>77</v>
      </c>
      <c r="F456">
        <f>+_xlfn.ISOWEEKNUM(export?format_csv_gid_612082435[[#This Row],[Fecha]])</f>
        <v>21</v>
      </c>
      <c r="G456">
        <f>+YEAR(export?format_csv_gid_612082435[[#This Row],[Fecha]])</f>
        <v>2026</v>
      </c>
      <c r="H456" t="e">
        <f>+VLOOKUP(export?format_csv_gid_612082435[[#This Row],[Valor]],Listas!A:B,2,FALSE)</f>
        <v>#N/A</v>
      </c>
    </row>
    <row r="457" spans="1:8" hidden="1" x14ac:dyDescent="0.3">
      <c r="A457" t="s">
        <v>83</v>
      </c>
      <c r="B457" t="s">
        <v>88</v>
      </c>
      <c r="C457" t="s">
        <v>153</v>
      </c>
      <c r="D457" s="19">
        <v>46164</v>
      </c>
      <c r="E457" t="s">
        <v>77</v>
      </c>
      <c r="F457">
        <f>+_xlfn.ISOWEEKNUM(export?format_csv_gid_612082435[[#This Row],[Fecha]])</f>
        <v>21</v>
      </c>
      <c r="G457">
        <f>+YEAR(export?format_csv_gid_612082435[[#This Row],[Fecha]])</f>
        <v>2026</v>
      </c>
      <c r="H457" t="e">
        <f>+VLOOKUP(export?format_csv_gid_612082435[[#This Row],[Valor]],Listas!A:B,2,FALSE)</f>
        <v>#N/A</v>
      </c>
    </row>
    <row r="458" spans="1:8" hidden="1" x14ac:dyDescent="0.3">
      <c r="A458" t="s">
        <v>83</v>
      </c>
      <c r="B458" t="s">
        <v>88</v>
      </c>
      <c r="C458" t="s">
        <v>153</v>
      </c>
      <c r="D458" s="19">
        <v>46165</v>
      </c>
      <c r="E458" t="s">
        <v>77</v>
      </c>
      <c r="F458">
        <f>+_xlfn.ISOWEEKNUM(export?format_csv_gid_612082435[[#This Row],[Fecha]])</f>
        <v>21</v>
      </c>
      <c r="G458">
        <f>+YEAR(export?format_csv_gid_612082435[[#This Row],[Fecha]])</f>
        <v>2026</v>
      </c>
      <c r="H458" t="e">
        <f>+VLOOKUP(export?format_csv_gid_612082435[[#This Row],[Valor]],Listas!A:B,2,FALSE)</f>
        <v>#N/A</v>
      </c>
    </row>
    <row r="459" spans="1:8" hidden="1" x14ac:dyDescent="0.3">
      <c r="A459" t="s">
        <v>83</v>
      </c>
      <c r="B459" t="s">
        <v>88</v>
      </c>
      <c r="C459" t="s">
        <v>153</v>
      </c>
      <c r="D459" s="19">
        <v>46166</v>
      </c>
      <c r="E459" t="s">
        <v>77</v>
      </c>
      <c r="F459">
        <f>+_xlfn.ISOWEEKNUM(export?format_csv_gid_612082435[[#This Row],[Fecha]])</f>
        <v>21</v>
      </c>
      <c r="G459">
        <f>+YEAR(export?format_csv_gid_612082435[[#This Row],[Fecha]])</f>
        <v>2026</v>
      </c>
      <c r="H459" t="e">
        <f>+VLOOKUP(export?format_csv_gid_612082435[[#This Row],[Valor]],Listas!A:B,2,FALSE)</f>
        <v>#N/A</v>
      </c>
    </row>
    <row r="460" spans="1:8" hidden="1" x14ac:dyDescent="0.3">
      <c r="A460" t="s">
        <v>83</v>
      </c>
      <c r="B460" t="s">
        <v>88</v>
      </c>
      <c r="C460" t="s">
        <v>153</v>
      </c>
      <c r="D460" s="19">
        <v>46167</v>
      </c>
      <c r="E460" t="s">
        <v>77</v>
      </c>
      <c r="F460">
        <f>+_xlfn.ISOWEEKNUM(export?format_csv_gid_612082435[[#This Row],[Fecha]])</f>
        <v>22</v>
      </c>
      <c r="G460">
        <f>+YEAR(export?format_csv_gid_612082435[[#This Row],[Fecha]])</f>
        <v>2026</v>
      </c>
      <c r="H460" t="e">
        <f>+VLOOKUP(export?format_csv_gid_612082435[[#This Row],[Valor]],Listas!A:B,2,FALSE)</f>
        <v>#N/A</v>
      </c>
    </row>
    <row r="461" spans="1:8" hidden="1" x14ac:dyDescent="0.3">
      <c r="A461" t="s">
        <v>83</v>
      </c>
      <c r="B461" t="s">
        <v>88</v>
      </c>
      <c r="C461" t="s">
        <v>153</v>
      </c>
      <c r="D461" s="19">
        <v>46168</v>
      </c>
      <c r="E461" t="s">
        <v>77</v>
      </c>
      <c r="F461">
        <f>+_xlfn.ISOWEEKNUM(export?format_csv_gid_612082435[[#This Row],[Fecha]])</f>
        <v>22</v>
      </c>
      <c r="G461">
        <f>+YEAR(export?format_csv_gid_612082435[[#This Row],[Fecha]])</f>
        <v>2026</v>
      </c>
      <c r="H461" t="e">
        <f>+VLOOKUP(export?format_csv_gid_612082435[[#This Row],[Valor]],Listas!A:B,2,FALSE)</f>
        <v>#N/A</v>
      </c>
    </row>
    <row r="462" spans="1:8" hidden="1" x14ac:dyDescent="0.3">
      <c r="A462" t="s">
        <v>83</v>
      </c>
      <c r="B462" t="s">
        <v>88</v>
      </c>
      <c r="C462" t="s">
        <v>153</v>
      </c>
      <c r="D462" s="19">
        <v>46169</v>
      </c>
      <c r="E462" t="s">
        <v>77</v>
      </c>
      <c r="F462">
        <f>+_xlfn.ISOWEEKNUM(export?format_csv_gid_612082435[[#This Row],[Fecha]])</f>
        <v>22</v>
      </c>
      <c r="G462">
        <f>+YEAR(export?format_csv_gid_612082435[[#This Row],[Fecha]])</f>
        <v>2026</v>
      </c>
      <c r="H462" t="e">
        <f>+VLOOKUP(export?format_csv_gid_612082435[[#This Row],[Valor]],Listas!A:B,2,FALSE)</f>
        <v>#N/A</v>
      </c>
    </row>
    <row r="463" spans="1:8" hidden="1" x14ac:dyDescent="0.3">
      <c r="A463" t="s">
        <v>83</v>
      </c>
      <c r="B463" t="s">
        <v>88</v>
      </c>
      <c r="C463" t="s">
        <v>153</v>
      </c>
      <c r="D463" s="19">
        <v>46170</v>
      </c>
      <c r="E463" t="s">
        <v>77</v>
      </c>
      <c r="F463">
        <f>+_xlfn.ISOWEEKNUM(export?format_csv_gid_612082435[[#This Row],[Fecha]])</f>
        <v>22</v>
      </c>
      <c r="G463">
        <f>+YEAR(export?format_csv_gid_612082435[[#This Row],[Fecha]])</f>
        <v>2026</v>
      </c>
      <c r="H463" t="e">
        <f>+VLOOKUP(export?format_csv_gid_612082435[[#This Row],[Valor]],Listas!A:B,2,FALSE)</f>
        <v>#N/A</v>
      </c>
    </row>
    <row r="464" spans="1:8" hidden="1" x14ac:dyDescent="0.3">
      <c r="A464" t="s">
        <v>83</v>
      </c>
      <c r="B464" t="s">
        <v>88</v>
      </c>
      <c r="C464" t="s">
        <v>153</v>
      </c>
      <c r="D464" s="19">
        <v>46171</v>
      </c>
      <c r="E464" t="s">
        <v>77</v>
      </c>
      <c r="F464">
        <f>+_xlfn.ISOWEEKNUM(export?format_csv_gid_612082435[[#This Row],[Fecha]])</f>
        <v>22</v>
      </c>
      <c r="G464">
        <f>+YEAR(export?format_csv_gid_612082435[[#This Row],[Fecha]])</f>
        <v>2026</v>
      </c>
      <c r="H464" t="e">
        <f>+VLOOKUP(export?format_csv_gid_612082435[[#This Row],[Valor]],Listas!A:B,2,FALSE)</f>
        <v>#N/A</v>
      </c>
    </row>
    <row r="465" spans="1:8" hidden="1" x14ac:dyDescent="0.3">
      <c r="A465" t="s">
        <v>83</v>
      </c>
      <c r="B465" t="s">
        <v>88</v>
      </c>
      <c r="C465" t="s">
        <v>153</v>
      </c>
      <c r="D465" s="19">
        <v>46172</v>
      </c>
      <c r="E465" t="s">
        <v>77</v>
      </c>
      <c r="F465">
        <f>+_xlfn.ISOWEEKNUM(export?format_csv_gid_612082435[[#This Row],[Fecha]])</f>
        <v>22</v>
      </c>
      <c r="G465">
        <f>+YEAR(export?format_csv_gid_612082435[[#This Row],[Fecha]])</f>
        <v>2026</v>
      </c>
      <c r="H465" t="e">
        <f>+VLOOKUP(export?format_csv_gid_612082435[[#This Row],[Valor]],Listas!A:B,2,FALSE)</f>
        <v>#N/A</v>
      </c>
    </row>
    <row r="466" spans="1:8" hidden="1" x14ac:dyDescent="0.3">
      <c r="A466" t="s">
        <v>83</v>
      </c>
      <c r="B466" t="s">
        <v>88</v>
      </c>
      <c r="C466" t="s">
        <v>153</v>
      </c>
      <c r="D466" s="19">
        <v>46173</v>
      </c>
      <c r="E466" t="s">
        <v>77</v>
      </c>
      <c r="F466">
        <f>+_xlfn.ISOWEEKNUM(export?format_csv_gid_612082435[[#This Row],[Fecha]])</f>
        <v>22</v>
      </c>
      <c r="G466">
        <f>+YEAR(export?format_csv_gid_612082435[[#This Row],[Fecha]])</f>
        <v>2026</v>
      </c>
      <c r="H466" t="e">
        <f>+VLOOKUP(export?format_csv_gid_612082435[[#This Row],[Valor]],Listas!A:B,2,FALSE)</f>
        <v>#N/A</v>
      </c>
    </row>
    <row r="467" spans="1:8" hidden="1" x14ac:dyDescent="0.3">
      <c r="A467" t="s">
        <v>72</v>
      </c>
      <c r="B467" t="s">
        <v>73</v>
      </c>
      <c r="C467" t="s">
        <v>89</v>
      </c>
      <c r="D467" s="19">
        <v>46143</v>
      </c>
      <c r="E467" t="s">
        <v>75</v>
      </c>
      <c r="F467">
        <f>+_xlfn.ISOWEEKNUM(export?format_csv_gid_612082435[[#This Row],[Fecha]])</f>
        <v>18</v>
      </c>
      <c r="G467">
        <f>+YEAR(export?format_csv_gid_612082435[[#This Row],[Fecha]])</f>
        <v>2026</v>
      </c>
      <c r="H467" t="str">
        <f>+VLOOKUP(export?format_csv_gid_612082435[[#This Row],[Valor]],Listas!A:B,2,FALSE)</f>
        <v>No Remunerado</v>
      </c>
    </row>
    <row r="468" spans="1:8" hidden="1" x14ac:dyDescent="0.3">
      <c r="A468" t="s">
        <v>72</v>
      </c>
      <c r="B468" t="s">
        <v>73</v>
      </c>
      <c r="C468" t="s">
        <v>89</v>
      </c>
      <c r="D468" s="19">
        <v>46144</v>
      </c>
      <c r="E468" t="s">
        <v>75</v>
      </c>
      <c r="F468">
        <f>+_xlfn.ISOWEEKNUM(export?format_csv_gid_612082435[[#This Row],[Fecha]])</f>
        <v>18</v>
      </c>
      <c r="G468">
        <f>+YEAR(export?format_csv_gid_612082435[[#This Row],[Fecha]])</f>
        <v>2026</v>
      </c>
      <c r="H468" t="str">
        <f>+VLOOKUP(export?format_csv_gid_612082435[[#This Row],[Valor]],Listas!A:B,2,FALSE)</f>
        <v>No Remunerado</v>
      </c>
    </row>
    <row r="469" spans="1:8" hidden="1" x14ac:dyDescent="0.3">
      <c r="A469" t="s">
        <v>72</v>
      </c>
      <c r="B469" t="s">
        <v>73</v>
      </c>
      <c r="C469" t="s">
        <v>89</v>
      </c>
      <c r="D469" s="19">
        <v>46145</v>
      </c>
      <c r="E469" t="s">
        <v>75</v>
      </c>
      <c r="F469">
        <f>+_xlfn.ISOWEEKNUM(export?format_csv_gid_612082435[[#This Row],[Fecha]])</f>
        <v>18</v>
      </c>
      <c r="G469">
        <f>+YEAR(export?format_csv_gid_612082435[[#This Row],[Fecha]])</f>
        <v>2026</v>
      </c>
      <c r="H469" t="str">
        <f>+VLOOKUP(export?format_csv_gid_612082435[[#This Row],[Valor]],Listas!A:B,2,FALSE)</f>
        <v>No Remunerado</v>
      </c>
    </row>
    <row r="470" spans="1:8" hidden="1" x14ac:dyDescent="0.3">
      <c r="A470" t="s">
        <v>72</v>
      </c>
      <c r="B470" t="s">
        <v>73</v>
      </c>
      <c r="C470" t="s">
        <v>89</v>
      </c>
      <c r="D470" s="19">
        <v>46146</v>
      </c>
      <c r="E470" t="s">
        <v>76</v>
      </c>
      <c r="F470">
        <f>+_xlfn.ISOWEEKNUM(export?format_csv_gid_612082435[[#This Row],[Fecha]])</f>
        <v>19</v>
      </c>
      <c r="G470">
        <f>+YEAR(export?format_csv_gid_612082435[[#This Row],[Fecha]])</f>
        <v>2026</v>
      </c>
      <c r="H470" t="str">
        <f>+VLOOKUP(export?format_csv_gid_612082435[[#This Row],[Valor]],Listas!A:B,2,FALSE)</f>
        <v>Asistencia</v>
      </c>
    </row>
    <row r="471" spans="1:8" hidden="1" x14ac:dyDescent="0.3">
      <c r="A471" t="s">
        <v>72</v>
      </c>
      <c r="B471" t="s">
        <v>73</v>
      </c>
      <c r="C471" t="s">
        <v>89</v>
      </c>
      <c r="D471" s="19">
        <v>46147</v>
      </c>
      <c r="E471" t="s">
        <v>76</v>
      </c>
      <c r="F471">
        <f>+_xlfn.ISOWEEKNUM(export?format_csv_gid_612082435[[#This Row],[Fecha]])</f>
        <v>19</v>
      </c>
      <c r="G471">
        <f>+YEAR(export?format_csv_gid_612082435[[#This Row],[Fecha]])</f>
        <v>2026</v>
      </c>
      <c r="H471" t="str">
        <f>+VLOOKUP(export?format_csv_gid_612082435[[#This Row],[Valor]],Listas!A:B,2,FALSE)</f>
        <v>Asistencia</v>
      </c>
    </row>
    <row r="472" spans="1:8" hidden="1" x14ac:dyDescent="0.3">
      <c r="A472" t="s">
        <v>72</v>
      </c>
      <c r="B472" t="s">
        <v>73</v>
      </c>
      <c r="C472" t="s">
        <v>89</v>
      </c>
      <c r="D472" s="19">
        <v>46148</v>
      </c>
      <c r="E472" t="s">
        <v>76</v>
      </c>
      <c r="F472">
        <f>+_xlfn.ISOWEEKNUM(export?format_csv_gid_612082435[[#This Row],[Fecha]])</f>
        <v>19</v>
      </c>
      <c r="G472">
        <f>+YEAR(export?format_csv_gid_612082435[[#This Row],[Fecha]])</f>
        <v>2026</v>
      </c>
      <c r="H472" t="str">
        <f>+VLOOKUP(export?format_csv_gid_612082435[[#This Row],[Valor]],Listas!A:B,2,FALSE)</f>
        <v>Asistencia</v>
      </c>
    </row>
    <row r="473" spans="1:8" hidden="1" x14ac:dyDescent="0.3">
      <c r="A473" t="s">
        <v>72</v>
      </c>
      <c r="B473" t="s">
        <v>73</v>
      </c>
      <c r="C473" t="s">
        <v>89</v>
      </c>
      <c r="D473" s="19">
        <v>46149</v>
      </c>
      <c r="E473" t="s">
        <v>75</v>
      </c>
      <c r="F473">
        <f>+_xlfn.ISOWEEKNUM(export?format_csv_gid_612082435[[#This Row],[Fecha]])</f>
        <v>19</v>
      </c>
      <c r="G473">
        <f>+YEAR(export?format_csv_gid_612082435[[#This Row],[Fecha]])</f>
        <v>2026</v>
      </c>
      <c r="H473" t="str">
        <f>+VLOOKUP(export?format_csv_gid_612082435[[#This Row],[Valor]],Listas!A:B,2,FALSE)</f>
        <v>No Remunerado</v>
      </c>
    </row>
    <row r="474" spans="1:8" hidden="1" x14ac:dyDescent="0.3">
      <c r="A474" t="s">
        <v>72</v>
      </c>
      <c r="B474" t="s">
        <v>73</v>
      </c>
      <c r="C474" t="s">
        <v>89</v>
      </c>
      <c r="D474" s="19">
        <v>46150</v>
      </c>
      <c r="E474" t="s">
        <v>75</v>
      </c>
      <c r="F474">
        <f>+_xlfn.ISOWEEKNUM(export?format_csv_gid_612082435[[#This Row],[Fecha]])</f>
        <v>19</v>
      </c>
      <c r="G474">
        <f>+YEAR(export?format_csv_gid_612082435[[#This Row],[Fecha]])</f>
        <v>2026</v>
      </c>
      <c r="H474" t="str">
        <f>+VLOOKUP(export?format_csv_gid_612082435[[#This Row],[Valor]],Listas!A:B,2,FALSE)</f>
        <v>No Remunerado</v>
      </c>
    </row>
    <row r="475" spans="1:8" hidden="1" x14ac:dyDescent="0.3">
      <c r="A475" t="s">
        <v>72</v>
      </c>
      <c r="B475" t="s">
        <v>73</v>
      </c>
      <c r="C475" t="s">
        <v>89</v>
      </c>
      <c r="D475" s="19">
        <v>46151</v>
      </c>
      <c r="E475" t="s">
        <v>75</v>
      </c>
      <c r="F475">
        <f>+_xlfn.ISOWEEKNUM(export?format_csv_gid_612082435[[#This Row],[Fecha]])</f>
        <v>19</v>
      </c>
      <c r="G475">
        <f>+YEAR(export?format_csv_gid_612082435[[#This Row],[Fecha]])</f>
        <v>2026</v>
      </c>
      <c r="H475" t="str">
        <f>+VLOOKUP(export?format_csv_gid_612082435[[#This Row],[Valor]],Listas!A:B,2,FALSE)</f>
        <v>No Remunerado</v>
      </c>
    </row>
    <row r="476" spans="1:8" hidden="1" x14ac:dyDescent="0.3">
      <c r="A476" t="s">
        <v>72</v>
      </c>
      <c r="B476" t="s">
        <v>73</v>
      </c>
      <c r="C476" t="s">
        <v>89</v>
      </c>
      <c r="D476" s="19">
        <v>46152</v>
      </c>
      <c r="E476" t="s">
        <v>75</v>
      </c>
      <c r="F476">
        <f>+_xlfn.ISOWEEKNUM(export?format_csv_gid_612082435[[#This Row],[Fecha]])</f>
        <v>19</v>
      </c>
      <c r="G476">
        <f>+YEAR(export?format_csv_gid_612082435[[#This Row],[Fecha]])</f>
        <v>2026</v>
      </c>
      <c r="H476" t="str">
        <f>+VLOOKUP(export?format_csv_gid_612082435[[#This Row],[Valor]],Listas!A:B,2,FALSE)</f>
        <v>No Remunerado</v>
      </c>
    </row>
    <row r="477" spans="1:8" hidden="1" x14ac:dyDescent="0.3">
      <c r="A477" t="s">
        <v>72</v>
      </c>
      <c r="B477" t="s">
        <v>73</v>
      </c>
      <c r="C477" t="s">
        <v>89</v>
      </c>
      <c r="D477" s="19">
        <v>46153</v>
      </c>
      <c r="E477" t="s">
        <v>76</v>
      </c>
      <c r="F477">
        <f>+_xlfn.ISOWEEKNUM(export?format_csv_gid_612082435[[#This Row],[Fecha]])</f>
        <v>20</v>
      </c>
      <c r="G477">
        <f>+YEAR(export?format_csv_gid_612082435[[#This Row],[Fecha]])</f>
        <v>2026</v>
      </c>
      <c r="H477" t="str">
        <f>+VLOOKUP(export?format_csv_gid_612082435[[#This Row],[Valor]],Listas!A:B,2,FALSE)</f>
        <v>Asistencia</v>
      </c>
    </row>
    <row r="478" spans="1:8" hidden="1" x14ac:dyDescent="0.3">
      <c r="A478" t="s">
        <v>72</v>
      </c>
      <c r="B478" t="s">
        <v>73</v>
      </c>
      <c r="C478" t="s">
        <v>89</v>
      </c>
      <c r="D478" s="19">
        <v>46154</v>
      </c>
      <c r="E478" t="s">
        <v>75</v>
      </c>
      <c r="F478">
        <f>+_xlfn.ISOWEEKNUM(export?format_csv_gid_612082435[[#This Row],[Fecha]])</f>
        <v>20</v>
      </c>
      <c r="G478">
        <f>+YEAR(export?format_csv_gid_612082435[[#This Row],[Fecha]])</f>
        <v>2026</v>
      </c>
      <c r="H478" t="str">
        <f>+VLOOKUP(export?format_csv_gid_612082435[[#This Row],[Valor]],Listas!A:B,2,FALSE)</f>
        <v>No Remunerado</v>
      </c>
    </row>
    <row r="479" spans="1:8" hidden="1" x14ac:dyDescent="0.3">
      <c r="A479" t="s">
        <v>72</v>
      </c>
      <c r="B479" t="s">
        <v>73</v>
      </c>
      <c r="C479" t="s">
        <v>89</v>
      </c>
      <c r="D479" s="19">
        <v>46155</v>
      </c>
      <c r="E479" t="s">
        <v>75</v>
      </c>
      <c r="F479">
        <f>+_xlfn.ISOWEEKNUM(export?format_csv_gid_612082435[[#This Row],[Fecha]])</f>
        <v>20</v>
      </c>
      <c r="G479">
        <f>+YEAR(export?format_csv_gid_612082435[[#This Row],[Fecha]])</f>
        <v>2026</v>
      </c>
      <c r="H479" t="str">
        <f>+VLOOKUP(export?format_csv_gid_612082435[[#This Row],[Valor]],Listas!A:B,2,FALSE)</f>
        <v>No Remunerado</v>
      </c>
    </row>
    <row r="480" spans="1:8" hidden="1" x14ac:dyDescent="0.3">
      <c r="A480" t="s">
        <v>72</v>
      </c>
      <c r="B480" t="s">
        <v>73</v>
      </c>
      <c r="C480" t="s">
        <v>89</v>
      </c>
      <c r="D480" s="19">
        <v>46156</v>
      </c>
      <c r="E480" t="s">
        <v>75</v>
      </c>
      <c r="F480">
        <f>+_xlfn.ISOWEEKNUM(export?format_csv_gid_612082435[[#This Row],[Fecha]])</f>
        <v>20</v>
      </c>
      <c r="G480">
        <f>+YEAR(export?format_csv_gid_612082435[[#This Row],[Fecha]])</f>
        <v>2026</v>
      </c>
      <c r="H480" t="str">
        <f>+VLOOKUP(export?format_csv_gid_612082435[[#This Row],[Valor]],Listas!A:B,2,FALSE)</f>
        <v>No Remunerado</v>
      </c>
    </row>
    <row r="481" spans="1:8" hidden="1" x14ac:dyDescent="0.3">
      <c r="A481" t="s">
        <v>72</v>
      </c>
      <c r="B481" t="s">
        <v>73</v>
      </c>
      <c r="C481" t="s">
        <v>89</v>
      </c>
      <c r="D481" s="19">
        <v>46157</v>
      </c>
      <c r="E481" t="s">
        <v>75</v>
      </c>
      <c r="F481">
        <f>+_xlfn.ISOWEEKNUM(export?format_csv_gid_612082435[[#This Row],[Fecha]])</f>
        <v>20</v>
      </c>
      <c r="G481">
        <f>+YEAR(export?format_csv_gid_612082435[[#This Row],[Fecha]])</f>
        <v>2026</v>
      </c>
      <c r="H481" t="str">
        <f>+VLOOKUP(export?format_csv_gid_612082435[[#This Row],[Valor]],Listas!A:B,2,FALSE)</f>
        <v>No Remunerado</v>
      </c>
    </row>
    <row r="482" spans="1:8" hidden="1" x14ac:dyDescent="0.3">
      <c r="A482" t="s">
        <v>72</v>
      </c>
      <c r="B482" t="s">
        <v>73</v>
      </c>
      <c r="C482" t="s">
        <v>89</v>
      </c>
      <c r="D482" s="19">
        <v>46158</v>
      </c>
      <c r="E482" t="s">
        <v>77</v>
      </c>
      <c r="F482">
        <f>+_xlfn.ISOWEEKNUM(export?format_csv_gid_612082435[[#This Row],[Fecha]])</f>
        <v>20</v>
      </c>
      <c r="G482">
        <f>+YEAR(export?format_csv_gid_612082435[[#This Row],[Fecha]])</f>
        <v>2026</v>
      </c>
      <c r="H482" t="e">
        <f>+VLOOKUP(export?format_csv_gid_612082435[[#This Row],[Valor]],Listas!A:B,2,FALSE)</f>
        <v>#N/A</v>
      </c>
    </row>
    <row r="483" spans="1:8" hidden="1" x14ac:dyDescent="0.3">
      <c r="A483" t="s">
        <v>72</v>
      </c>
      <c r="B483" t="s">
        <v>73</v>
      </c>
      <c r="C483" t="s">
        <v>89</v>
      </c>
      <c r="D483" s="19">
        <v>46159</v>
      </c>
      <c r="E483" t="s">
        <v>77</v>
      </c>
      <c r="F483">
        <f>+_xlfn.ISOWEEKNUM(export?format_csv_gid_612082435[[#This Row],[Fecha]])</f>
        <v>20</v>
      </c>
      <c r="G483">
        <f>+YEAR(export?format_csv_gid_612082435[[#This Row],[Fecha]])</f>
        <v>2026</v>
      </c>
      <c r="H483" t="e">
        <f>+VLOOKUP(export?format_csv_gid_612082435[[#This Row],[Valor]],Listas!A:B,2,FALSE)</f>
        <v>#N/A</v>
      </c>
    </row>
    <row r="484" spans="1:8" hidden="1" x14ac:dyDescent="0.3">
      <c r="A484" t="s">
        <v>72</v>
      </c>
      <c r="B484" t="s">
        <v>73</v>
      </c>
      <c r="C484" t="s">
        <v>89</v>
      </c>
      <c r="D484" s="19">
        <v>46160</v>
      </c>
      <c r="E484" t="s">
        <v>77</v>
      </c>
      <c r="F484">
        <f>+_xlfn.ISOWEEKNUM(export?format_csv_gid_612082435[[#This Row],[Fecha]])</f>
        <v>21</v>
      </c>
      <c r="G484">
        <f>+YEAR(export?format_csv_gid_612082435[[#This Row],[Fecha]])</f>
        <v>2026</v>
      </c>
      <c r="H484" t="e">
        <f>+VLOOKUP(export?format_csv_gid_612082435[[#This Row],[Valor]],Listas!A:B,2,FALSE)</f>
        <v>#N/A</v>
      </c>
    </row>
    <row r="485" spans="1:8" hidden="1" x14ac:dyDescent="0.3">
      <c r="A485" t="s">
        <v>72</v>
      </c>
      <c r="B485" t="s">
        <v>73</v>
      </c>
      <c r="C485" t="s">
        <v>89</v>
      </c>
      <c r="D485" s="19">
        <v>46161</v>
      </c>
      <c r="E485" t="s">
        <v>77</v>
      </c>
      <c r="F485">
        <f>+_xlfn.ISOWEEKNUM(export?format_csv_gid_612082435[[#This Row],[Fecha]])</f>
        <v>21</v>
      </c>
      <c r="G485">
        <f>+YEAR(export?format_csv_gid_612082435[[#This Row],[Fecha]])</f>
        <v>2026</v>
      </c>
      <c r="H485" t="e">
        <f>+VLOOKUP(export?format_csv_gid_612082435[[#This Row],[Valor]],Listas!A:B,2,FALSE)</f>
        <v>#N/A</v>
      </c>
    </row>
    <row r="486" spans="1:8" hidden="1" x14ac:dyDescent="0.3">
      <c r="A486" t="s">
        <v>72</v>
      </c>
      <c r="B486" t="s">
        <v>73</v>
      </c>
      <c r="C486" t="s">
        <v>89</v>
      </c>
      <c r="D486" s="19">
        <v>46162</v>
      </c>
      <c r="E486" t="s">
        <v>77</v>
      </c>
      <c r="F486">
        <f>+_xlfn.ISOWEEKNUM(export?format_csv_gid_612082435[[#This Row],[Fecha]])</f>
        <v>21</v>
      </c>
      <c r="G486">
        <f>+YEAR(export?format_csv_gid_612082435[[#This Row],[Fecha]])</f>
        <v>2026</v>
      </c>
      <c r="H486" t="e">
        <f>+VLOOKUP(export?format_csv_gid_612082435[[#This Row],[Valor]],Listas!A:B,2,FALSE)</f>
        <v>#N/A</v>
      </c>
    </row>
    <row r="487" spans="1:8" hidden="1" x14ac:dyDescent="0.3">
      <c r="A487" t="s">
        <v>72</v>
      </c>
      <c r="B487" t="s">
        <v>73</v>
      </c>
      <c r="C487" t="s">
        <v>89</v>
      </c>
      <c r="D487" s="19">
        <v>46163</v>
      </c>
      <c r="E487" t="s">
        <v>77</v>
      </c>
      <c r="F487">
        <f>+_xlfn.ISOWEEKNUM(export?format_csv_gid_612082435[[#This Row],[Fecha]])</f>
        <v>21</v>
      </c>
      <c r="G487">
        <f>+YEAR(export?format_csv_gid_612082435[[#This Row],[Fecha]])</f>
        <v>2026</v>
      </c>
      <c r="H487" t="e">
        <f>+VLOOKUP(export?format_csv_gid_612082435[[#This Row],[Valor]],Listas!A:B,2,FALSE)</f>
        <v>#N/A</v>
      </c>
    </row>
    <row r="488" spans="1:8" hidden="1" x14ac:dyDescent="0.3">
      <c r="A488" t="s">
        <v>72</v>
      </c>
      <c r="B488" t="s">
        <v>73</v>
      </c>
      <c r="C488" t="s">
        <v>89</v>
      </c>
      <c r="D488" s="19">
        <v>46164</v>
      </c>
      <c r="E488" t="s">
        <v>77</v>
      </c>
      <c r="F488">
        <f>+_xlfn.ISOWEEKNUM(export?format_csv_gid_612082435[[#This Row],[Fecha]])</f>
        <v>21</v>
      </c>
      <c r="G488">
        <f>+YEAR(export?format_csv_gid_612082435[[#This Row],[Fecha]])</f>
        <v>2026</v>
      </c>
      <c r="H488" t="e">
        <f>+VLOOKUP(export?format_csv_gid_612082435[[#This Row],[Valor]],Listas!A:B,2,FALSE)</f>
        <v>#N/A</v>
      </c>
    </row>
    <row r="489" spans="1:8" hidden="1" x14ac:dyDescent="0.3">
      <c r="A489" t="s">
        <v>72</v>
      </c>
      <c r="B489" t="s">
        <v>73</v>
      </c>
      <c r="C489" t="s">
        <v>89</v>
      </c>
      <c r="D489" s="19">
        <v>46165</v>
      </c>
      <c r="E489" t="s">
        <v>77</v>
      </c>
      <c r="F489">
        <f>+_xlfn.ISOWEEKNUM(export?format_csv_gid_612082435[[#This Row],[Fecha]])</f>
        <v>21</v>
      </c>
      <c r="G489">
        <f>+YEAR(export?format_csv_gid_612082435[[#This Row],[Fecha]])</f>
        <v>2026</v>
      </c>
      <c r="H489" t="e">
        <f>+VLOOKUP(export?format_csv_gid_612082435[[#This Row],[Valor]],Listas!A:B,2,FALSE)</f>
        <v>#N/A</v>
      </c>
    </row>
    <row r="490" spans="1:8" hidden="1" x14ac:dyDescent="0.3">
      <c r="A490" t="s">
        <v>72</v>
      </c>
      <c r="B490" t="s">
        <v>73</v>
      </c>
      <c r="C490" t="s">
        <v>89</v>
      </c>
      <c r="D490" s="19">
        <v>46166</v>
      </c>
      <c r="E490" t="s">
        <v>77</v>
      </c>
      <c r="F490">
        <f>+_xlfn.ISOWEEKNUM(export?format_csv_gid_612082435[[#This Row],[Fecha]])</f>
        <v>21</v>
      </c>
      <c r="G490">
        <f>+YEAR(export?format_csv_gid_612082435[[#This Row],[Fecha]])</f>
        <v>2026</v>
      </c>
      <c r="H490" t="e">
        <f>+VLOOKUP(export?format_csv_gid_612082435[[#This Row],[Valor]],Listas!A:B,2,FALSE)</f>
        <v>#N/A</v>
      </c>
    </row>
    <row r="491" spans="1:8" hidden="1" x14ac:dyDescent="0.3">
      <c r="A491" t="s">
        <v>72</v>
      </c>
      <c r="B491" t="s">
        <v>73</v>
      </c>
      <c r="C491" t="s">
        <v>89</v>
      </c>
      <c r="D491" s="19">
        <v>46167</v>
      </c>
      <c r="E491" t="s">
        <v>77</v>
      </c>
      <c r="F491">
        <f>+_xlfn.ISOWEEKNUM(export?format_csv_gid_612082435[[#This Row],[Fecha]])</f>
        <v>22</v>
      </c>
      <c r="G491">
        <f>+YEAR(export?format_csv_gid_612082435[[#This Row],[Fecha]])</f>
        <v>2026</v>
      </c>
      <c r="H491" t="e">
        <f>+VLOOKUP(export?format_csv_gid_612082435[[#This Row],[Valor]],Listas!A:B,2,FALSE)</f>
        <v>#N/A</v>
      </c>
    </row>
    <row r="492" spans="1:8" hidden="1" x14ac:dyDescent="0.3">
      <c r="A492" t="s">
        <v>72</v>
      </c>
      <c r="B492" t="s">
        <v>73</v>
      </c>
      <c r="C492" t="s">
        <v>89</v>
      </c>
      <c r="D492" s="19">
        <v>46168</v>
      </c>
      <c r="E492" t="s">
        <v>77</v>
      </c>
      <c r="F492">
        <f>+_xlfn.ISOWEEKNUM(export?format_csv_gid_612082435[[#This Row],[Fecha]])</f>
        <v>22</v>
      </c>
      <c r="G492">
        <f>+YEAR(export?format_csv_gid_612082435[[#This Row],[Fecha]])</f>
        <v>2026</v>
      </c>
      <c r="H492" t="e">
        <f>+VLOOKUP(export?format_csv_gid_612082435[[#This Row],[Valor]],Listas!A:B,2,FALSE)</f>
        <v>#N/A</v>
      </c>
    </row>
    <row r="493" spans="1:8" hidden="1" x14ac:dyDescent="0.3">
      <c r="A493" t="s">
        <v>72</v>
      </c>
      <c r="B493" t="s">
        <v>73</v>
      </c>
      <c r="C493" t="s">
        <v>89</v>
      </c>
      <c r="D493" s="19">
        <v>46169</v>
      </c>
      <c r="E493" t="s">
        <v>77</v>
      </c>
      <c r="F493">
        <f>+_xlfn.ISOWEEKNUM(export?format_csv_gid_612082435[[#This Row],[Fecha]])</f>
        <v>22</v>
      </c>
      <c r="G493">
        <f>+YEAR(export?format_csv_gid_612082435[[#This Row],[Fecha]])</f>
        <v>2026</v>
      </c>
      <c r="H493" t="e">
        <f>+VLOOKUP(export?format_csv_gid_612082435[[#This Row],[Valor]],Listas!A:B,2,FALSE)</f>
        <v>#N/A</v>
      </c>
    </row>
    <row r="494" spans="1:8" hidden="1" x14ac:dyDescent="0.3">
      <c r="A494" t="s">
        <v>72</v>
      </c>
      <c r="B494" t="s">
        <v>73</v>
      </c>
      <c r="C494" t="s">
        <v>89</v>
      </c>
      <c r="D494" s="19">
        <v>46170</v>
      </c>
      <c r="E494" t="s">
        <v>77</v>
      </c>
      <c r="F494">
        <f>+_xlfn.ISOWEEKNUM(export?format_csv_gid_612082435[[#This Row],[Fecha]])</f>
        <v>22</v>
      </c>
      <c r="G494">
        <f>+YEAR(export?format_csv_gid_612082435[[#This Row],[Fecha]])</f>
        <v>2026</v>
      </c>
      <c r="H494" t="e">
        <f>+VLOOKUP(export?format_csv_gid_612082435[[#This Row],[Valor]],Listas!A:B,2,FALSE)</f>
        <v>#N/A</v>
      </c>
    </row>
    <row r="495" spans="1:8" hidden="1" x14ac:dyDescent="0.3">
      <c r="A495" t="s">
        <v>72</v>
      </c>
      <c r="B495" t="s">
        <v>73</v>
      </c>
      <c r="C495" t="s">
        <v>89</v>
      </c>
      <c r="D495" s="19">
        <v>46171</v>
      </c>
      <c r="E495" t="s">
        <v>77</v>
      </c>
      <c r="F495">
        <f>+_xlfn.ISOWEEKNUM(export?format_csv_gid_612082435[[#This Row],[Fecha]])</f>
        <v>22</v>
      </c>
      <c r="G495">
        <f>+YEAR(export?format_csv_gid_612082435[[#This Row],[Fecha]])</f>
        <v>2026</v>
      </c>
      <c r="H495" t="e">
        <f>+VLOOKUP(export?format_csv_gid_612082435[[#This Row],[Valor]],Listas!A:B,2,FALSE)</f>
        <v>#N/A</v>
      </c>
    </row>
    <row r="496" spans="1:8" hidden="1" x14ac:dyDescent="0.3">
      <c r="A496" t="s">
        <v>72</v>
      </c>
      <c r="B496" t="s">
        <v>73</v>
      </c>
      <c r="C496" t="s">
        <v>89</v>
      </c>
      <c r="D496" s="19">
        <v>46172</v>
      </c>
      <c r="E496" t="s">
        <v>77</v>
      </c>
      <c r="F496">
        <f>+_xlfn.ISOWEEKNUM(export?format_csv_gid_612082435[[#This Row],[Fecha]])</f>
        <v>22</v>
      </c>
      <c r="G496">
        <f>+YEAR(export?format_csv_gid_612082435[[#This Row],[Fecha]])</f>
        <v>2026</v>
      </c>
      <c r="H496" t="e">
        <f>+VLOOKUP(export?format_csv_gid_612082435[[#This Row],[Valor]],Listas!A:B,2,FALSE)</f>
        <v>#N/A</v>
      </c>
    </row>
    <row r="497" spans="1:8" hidden="1" x14ac:dyDescent="0.3">
      <c r="A497" t="s">
        <v>72</v>
      </c>
      <c r="B497" t="s">
        <v>73</v>
      </c>
      <c r="C497" t="s">
        <v>89</v>
      </c>
      <c r="D497" s="19">
        <v>46173</v>
      </c>
      <c r="E497" t="s">
        <v>77</v>
      </c>
      <c r="F497">
        <f>+_xlfn.ISOWEEKNUM(export?format_csv_gid_612082435[[#This Row],[Fecha]])</f>
        <v>22</v>
      </c>
      <c r="G497">
        <f>+YEAR(export?format_csv_gid_612082435[[#This Row],[Fecha]])</f>
        <v>2026</v>
      </c>
      <c r="H497" t="e">
        <f>+VLOOKUP(export?format_csv_gid_612082435[[#This Row],[Valor]],Listas!A:B,2,FALSE)</f>
        <v>#N/A</v>
      </c>
    </row>
    <row r="498" spans="1:8" hidden="1" x14ac:dyDescent="0.3">
      <c r="A498" t="s">
        <v>72</v>
      </c>
      <c r="B498" t="s">
        <v>88</v>
      </c>
      <c r="C498" t="s">
        <v>90</v>
      </c>
      <c r="D498" s="19">
        <v>46143</v>
      </c>
      <c r="E498" t="s">
        <v>75</v>
      </c>
      <c r="F498">
        <f>+_xlfn.ISOWEEKNUM(export?format_csv_gid_612082435[[#This Row],[Fecha]])</f>
        <v>18</v>
      </c>
      <c r="G498">
        <f>+YEAR(export?format_csv_gid_612082435[[#This Row],[Fecha]])</f>
        <v>2026</v>
      </c>
      <c r="H498" t="str">
        <f>+VLOOKUP(export?format_csv_gid_612082435[[#This Row],[Valor]],Listas!A:B,2,FALSE)</f>
        <v>No Remunerado</v>
      </c>
    </row>
    <row r="499" spans="1:8" hidden="1" x14ac:dyDescent="0.3">
      <c r="A499" t="s">
        <v>72</v>
      </c>
      <c r="B499" t="s">
        <v>88</v>
      </c>
      <c r="C499" t="s">
        <v>90</v>
      </c>
      <c r="D499" s="19">
        <v>46144</v>
      </c>
      <c r="E499" t="s">
        <v>75</v>
      </c>
      <c r="F499">
        <f>+_xlfn.ISOWEEKNUM(export?format_csv_gid_612082435[[#This Row],[Fecha]])</f>
        <v>18</v>
      </c>
      <c r="G499">
        <f>+YEAR(export?format_csv_gid_612082435[[#This Row],[Fecha]])</f>
        <v>2026</v>
      </c>
      <c r="H499" t="str">
        <f>+VLOOKUP(export?format_csv_gid_612082435[[#This Row],[Valor]],Listas!A:B,2,FALSE)</f>
        <v>No Remunerado</v>
      </c>
    </row>
    <row r="500" spans="1:8" hidden="1" x14ac:dyDescent="0.3">
      <c r="A500" t="s">
        <v>72</v>
      </c>
      <c r="B500" t="s">
        <v>88</v>
      </c>
      <c r="C500" t="s">
        <v>90</v>
      </c>
      <c r="D500" s="19">
        <v>46145</v>
      </c>
      <c r="E500" t="s">
        <v>75</v>
      </c>
      <c r="F500">
        <f>+_xlfn.ISOWEEKNUM(export?format_csv_gid_612082435[[#This Row],[Fecha]])</f>
        <v>18</v>
      </c>
      <c r="G500">
        <f>+YEAR(export?format_csv_gid_612082435[[#This Row],[Fecha]])</f>
        <v>2026</v>
      </c>
      <c r="H500" t="str">
        <f>+VLOOKUP(export?format_csv_gid_612082435[[#This Row],[Valor]],Listas!A:B,2,FALSE)</f>
        <v>No Remunerado</v>
      </c>
    </row>
    <row r="501" spans="1:8" hidden="1" x14ac:dyDescent="0.3">
      <c r="A501" t="s">
        <v>72</v>
      </c>
      <c r="B501" t="s">
        <v>88</v>
      </c>
      <c r="C501" t="s">
        <v>90</v>
      </c>
      <c r="D501" s="19">
        <v>46146</v>
      </c>
      <c r="E501" t="s">
        <v>75</v>
      </c>
      <c r="F501">
        <f>+_xlfn.ISOWEEKNUM(export?format_csv_gid_612082435[[#This Row],[Fecha]])</f>
        <v>19</v>
      </c>
      <c r="G501">
        <f>+YEAR(export?format_csv_gid_612082435[[#This Row],[Fecha]])</f>
        <v>2026</v>
      </c>
      <c r="H501" t="str">
        <f>+VLOOKUP(export?format_csv_gid_612082435[[#This Row],[Valor]],Listas!A:B,2,FALSE)</f>
        <v>No Remunerado</v>
      </c>
    </row>
    <row r="502" spans="1:8" hidden="1" x14ac:dyDescent="0.3">
      <c r="A502" t="s">
        <v>72</v>
      </c>
      <c r="B502" t="s">
        <v>88</v>
      </c>
      <c r="C502" t="s">
        <v>90</v>
      </c>
      <c r="D502" s="19">
        <v>46147</v>
      </c>
      <c r="E502" t="s">
        <v>75</v>
      </c>
      <c r="F502">
        <f>+_xlfn.ISOWEEKNUM(export?format_csv_gid_612082435[[#This Row],[Fecha]])</f>
        <v>19</v>
      </c>
      <c r="G502">
        <f>+YEAR(export?format_csv_gid_612082435[[#This Row],[Fecha]])</f>
        <v>2026</v>
      </c>
      <c r="H502" t="str">
        <f>+VLOOKUP(export?format_csv_gid_612082435[[#This Row],[Valor]],Listas!A:B,2,FALSE)</f>
        <v>No Remunerado</v>
      </c>
    </row>
    <row r="503" spans="1:8" hidden="1" x14ac:dyDescent="0.3">
      <c r="A503" t="s">
        <v>72</v>
      </c>
      <c r="B503" t="s">
        <v>88</v>
      </c>
      <c r="C503" t="s">
        <v>90</v>
      </c>
      <c r="D503" s="19">
        <v>46148</v>
      </c>
      <c r="E503" t="s">
        <v>76</v>
      </c>
      <c r="F503">
        <f>+_xlfn.ISOWEEKNUM(export?format_csv_gid_612082435[[#This Row],[Fecha]])</f>
        <v>19</v>
      </c>
      <c r="G503">
        <f>+YEAR(export?format_csv_gid_612082435[[#This Row],[Fecha]])</f>
        <v>2026</v>
      </c>
      <c r="H503" t="str">
        <f>+VLOOKUP(export?format_csv_gid_612082435[[#This Row],[Valor]],Listas!A:B,2,FALSE)</f>
        <v>Asistencia</v>
      </c>
    </row>
    <row r="504" spans="1:8" hidden="1" x14ac:dyDescent="0.3">
      <c r="A504" t="s">
        <v>72</v>
      </c>
      <c r="B504" t="s">
        <v>88</v>
      </c>
      <c r="C504" t="s">
        <v>90</v>
      </c>
      <c r="D504" s="19">
        <v>46149</v>
      </c>
      <c r="E504" t="s">
        <v>75</v>
      </c>
      <c r="F504">
        <f>+_xlfn.ISOWEEKNUM(export?format_csv_gid_612082435[[#This Row],[Fecha]])</f>
        <v>19</v>
      </c>
      <c r="G504">
        <f>+YEAR(export?format_csv_gid_612082435[[#This Row],[Fecha]])</f>
        <v>2026</v>
      </c>
      <c r="H504" t="str">
        <f>+VLOOKUP(export?format_csv_gid_612082435[[#This Row],[Valor]],Listas!A:B,2,FALSE)</f>
        <v>No Remunerado</v>
      </c>
    </row>
    <row r="505" spans="1:8" hidden="1" x14ac:dyDescent="0.3">
      <c r="A505" t="s">
        <v>72</v>
      </c>
      <c r="B505" t="s">
        <v>88</v>
      </c>
      <c r="C505" t="s">
        <v>90</v>
      </c>
      <c r="D505" s="19">
        <v>46150</v>
      </c>
      <c r="E505" t="s">
        <v>75</v>
      </c>
      <c r="F505">
        <f>+_xlfn.ISOWEEKNUM(export?format_csv_gid_612082435[[#This Row],[Fecha]])</f>
        <v>19</v>
      </c>
      <c r="G505">
        <f>+YEAR(export?format_csv_gid_612082435[[#This Row],[Fecha]])</f>
        <v>2026</v>
      </c>
      <c r="H505" t="str">
        <f>+VLOOKUP(export?format_csv_gid_612082435[[#This Row],[Valor]],Listas!A:B,2,FALSE)</f>
        <v>No Remunerado</v>
      </c>
    </row>
    <row r="506" spans="1:8" hidden="1" x14ac:dyDescent="0.3">
      <c r="A506" t="s">
        <v>72</v>
      </c>
      <c r="B506" t="s">
        <v>88</v>
      </c>
      <c r="C506" t="s">
        <v>90</v>
      </c>
      <c r="D506" s="19">
        <v>46151</v>
      </c>
      <c r="E506" t="s">
        <v>75</v>
      </c>
      <c r="F506">
        <f>+_xlfn.ISOWEEKNUM(export?format_csv_gid_612082435[[#This Row],[Fecha]])</f>
        <v>19</v>
      </c>
      <c r="G506">
        <f>+YEAR(export?format_csv_gid_612082435[[#This Row],[Fecha]])</f>
        <v>2026</v>
      </c>
      <c r="H506" t="str">
        <f>+VLOOKUP(export?format_csv_gid_612082435[[#This Row],[Valor]],Listas!A:B,2,FALSE)</f>
        <v>No Remunerado</v>
      </c>
    </row>
    <row r="507" spans="1:8" hidden="1" x14ac:dyDescent="0.3">
      <c r="A507" t="s">
        <v>72</v>
      </c>
      <c r="B507" t="s">
        <v>88</v>
      </c>
      <c r="C507" t="s">
        <v>90</v>
      </c>
      <c r="D507" s="19">
        <v>46152</v>
      </c>
      <c r="E507" t="s">
        <v>75</v>
      </c>
      <c r="F507">
        <f>+_xlfn.ISOWEEKNUM(export?format_csv_gid_612082435[[#This Row],[Fecha]])</f>
        <v>19</v>
      </c>
      <c r="G507">
        <f>+YEAR(export?format_csv_gid_612082435[[#This Row],[Fecha]])</f>
        <v>2026</v>
      </c>
      <c r="H507" t="str">
        <f>+VLOOKUP(export?format_csv_gid_612082435[[#This Row],[Valor]],Listas!A:B,2,FALSE)</f>
        <v>No Remunerado</v>
      </c>
    </row>
    <row r="508" spans="1:8" hidden="1" x14ac:dyDescent="0.3">
      <c r="A508" t="s">
        <v>72</v>
      </c>
      <c r="B508" t="s">
        <v>88</v>
      </c>
      <c r="C508" t="s">
        <v>90</v>
      </c>
      <c r="D508" s="19">
        <v>46153</v>
      </c>
      <c r="E508" t="s">
        <v>76</v>
      </c>
      <c r="F508">
        <f>+_xlfn.ISOWEEKNUM(export?format_csv_gid_612082435[[#This Row],[Fecha]])</f>
        <v>20</v>
      </c>
      <c r="G508">
        <f>+YEAR(export?format_csv_gid_612082435[[#This Row],[Fecha]])</f>
        <v>2026</v>
      </c>
      <c r="H508" t="str">
        <f>+VLOOKUP(export?format_csv_gid_612082435[[#This Row],[Valor]],Listas!A:B,2,FALSE)</f>
        <v>Asistencia</v>
      </c>
    </row>
    <row r="509" spans="1:8" hidden="1" x14ac:dyDescent="0.3">
      <c r="A509" t="s">
        <v>72</v>
      </c>
      <c r="B509" t="s">
        <v>88</v>
      </c>
      <c r="C509" t="s">
        <v>90</v>
      </c>
      <c r="D509" s="19">
        <v>46154</v>
      </c>
      <c r="E509" t="s">
        <v>76</v>
      </c>
      <c r="F509">
        <f>+_xlfn.ISOWEEKNUM(export?format_csv_gid_612082435[[#This Row],[Fecha]])</f>
        <v>20</v>
      </c>
      <c r="G509">
        <f>+YEAR(export?format_csv_gid_612082435[[#This Row],[Fecha]])</f>
        <v>2026</v>
      </c>
      <c r="H509" t="str">
        <f>+VLOOKUP(export?format_csv_gid_612082435[[#This Row],[Valor]],Listas!A:B,2,FALSE)</f>
        <v>Asistencia</v>
      </c>
    </row>
    <row r="510" spans="1:8" hidden="1" x14ac:dyDescent="0.3">
      <c r="A510" t="s">
        <v>72</v>
      </c>
      <c r="B510" t="s">
        <v>88</v>
      </c>
      <c r="C510" t="s">
        <v>90</v>
      </c>
      <c r="D510" s="19">
        <v>46155</v>
      </c>
      <c r="E510" t="s">
        <v>76</v>
      </c>
      <c r="F510">
        <f>+_xlfn.ISOWEEKNUM(export?format_csv_gid_612082435[[#This Row],[Fecha]])</f>
        <v>20</v>
      </c>
      <c r="G510">
        <f>+YEAR(export?format_csv_gid_612082435[[#This Row],[Fecha]])</f>
        <v>2026</v>
      </c>
      <c r="H510" t="str">
        <f>+VLOOKUP(export?format_csv_gid_612082435[[#This Row],[Valor]],Listas!A:B,2,FALSE)</f>
        <v>Asistencia</v>
      </c>
    </row>
    <row r="511" spans="1:8" hidden="1" x14ac:dyDescent="0.3">
      <c r="A511" t="s">
        <v>72</v>
      </c>
      <c r="B511" t="s">
        <v>88</v>
      </c>
      <c r="C511" t="s">
        <v>90</v>
      </c>
      <c r="D511" s="19">
        <v>46156</v>
      </c>
      <c r="E511" t="s">
        <v>76</v>
      </c>
      <c r="F511">
        <f>+_xlfn.ISOWEEKNUM(export?format_csv_gid_612082435[[#This Row],[Fecha]])</f>
        <v>20</v>
      </c>
      <c r="G511">
        <f>+YEAR(export?format_csv_gid_612082435[[#This Row],[Fecha]])</f>
        <v>2026</v>
      </c>
      <c r="H511" t="str">
        <f>+VLOOKUP(export?format_csv_gid_612082435[[#This Row],[Valor]],Listas!A:B,2,FALSE)</f>
        <v>Asistencia</v>
      </c>
    </row>
    <row r="512" spans="1:8" hidden="1" x14ac:dyDescent="0.3">
      <c r="A512" t="s">
        <v>72</v>
      </c>
      <c r="B512" t="s">
        <v>88</v>
      </c>
      <c r="C512" t="s">
        <v>90</v>
      </c>
      <c r="D512" s="19">
        <v>46157</v>
      </c>
      <c r="E512" t="s">
        <v>77</v>
      </c>
      <c r="F512">
        <f>+_xlfn.ISOWEEKNUM(export?format_csv_gid_612082435[[#This Row],[Fecha]])</f>
        <v>20</v>
      </c>
      <c r="G512">
        <f>+YEAR(export?format_csv_gid_612082435[[#This Row],[Fecha]])</f>
        <v>2026</v>
      </c>
      <c r="H512" t="e">
        <f>+VLOOKUP(export?format_csv_gid_612082435[[#This Row],[Valor]],Listas!A:B,2,FALSE)</f>
        <v>#N/A</v>
      </c>
    </row>
    <row r="513" spans="1:8" hidden="1" x14ac:dyDescent="0.3">
      <c r="A513" t="s">
        <v>72</v>
      </c>
      <c r="B513" t="s">
        <v>88</v>
      </c>
      <c r="C513" t="s">
        <v>90</v>
      </c>
      <c r="D513" s="19">
        <v>46158</v>
      </c>
      <c r="E513" t="s">
        <v>77</v>
      </c>
      <c r="F513">
        <f>+_xlfn.ISOWEEKNUM(export?format_csv_gid_612082435[[#This Row],[Fecha]])</f>
        <v>20</v>
      </c>
      <c r="G513">
        <f>+YEAR(export?format_csv_gid_612082435[[#This Row],[Fecha]])</f>
        <v>2026</v>
      </c>
      <c r="H513" t="e">
        <f>+VLOOKUP(export?format_csv_gid_612082435[[#This Row],[Valor]],Listas!A:B,2,FALSE)</f>
        <v>#N/A</v>
      </c>
    </row>
    <row r="514" spans="1:8" hidden="1" x14ac:dyDescent="0.3">
      <c r="A514" t="s">
        <v>72</v>
      </c>
      <c r="B514" t="s">
        <v>88</v>
      </c>
      <c r="C514" t="s">
        <v>90</v>
      </c>
      <c r="D514" s="19">
        <v>46159</v>
      </c>
      <c r="E514" t="s">
        <v>77</v>
      </c>
      <c r="F514">
        <f>+_xlfn.ISOWEEKNUM(export?format_csv_gid_612082435[[#This Row],[Fecha]])</f>
        <v>20</v>
      </c>
      <c r="G514">
        <f>+YEAR(export?format_csv_gid_612082435[[#This Row],[Fecha]])</f>
        <v>2026</v>
      </c>
      <c r="H514" t="e">
        <f>+VLOOKUP(export?format_csv_gid_612082435[[#This Row],[Valor]],Listas!A:B,2,FALSE)</f>
        <v>#N/A</v>
      </c>
    </row>
    <row r="515" spans="1:8" hidden="1" x14ac:dyDescent="0.3">
      <c r="A515" t="s">
        <v>72</v>
      </c>
      <c r="B515" t="s">
        <v>88</v>
      </c>
      <c r="C515" t="s">
        <v>90</v>
      </c>
      <c r="D515" s="19">
        <v>46160</v>
      </c>
      <c r="E515" t="s">
        <v>77</v>
      </c>
      <c r="F515">
        <f>+_xlfn.ISOWEEKNUM(export?format_csv_gid_612082435[[#This Row],[Fecha]])</f>
        <v>21</v>
      </c>
      <c r="G515">
        <f>+YEAR(export?format_csv_gid_612082435[[#This Row],[Fecha]])</f>
        <v>2026</v>
      </c>
      <c r="H515" t="e">
        <f>+VLOOKUP(export?format_csv_gid_612082435[[#This Row],[Valor]],Listas!A:B,2,FALSE)</f>
        <v>#N/A</v>
      </c>
    </row>
    <row r="516" spans="1:8" hidden="1" x14ac:dyDescent="0.3">
      <c r="A516" t="s">
        <v>72</v>
      </c>
      <c r="B516" t="s">
        <v>88</v>
      </c>
      <c r="C516" t="s">
        <v>90</v>
      </c>
      <c r="D516" s="19">
        <v>46161</v>
      </c>
      <c r="E516" t="s">
        <v>77</v>
      </c>
      <c r="F516">
        <f>+_xlfn.ISOWEEKNUM(export?format_csv_gid_612082435[[#This Row],[Fecha]])</f>
        <v>21</v>
      </c>
      <c r="G516">
        <f>+YEAR(export?format_csv_gid_612082435[[#This Row],[Fecha]])</f>
        <v>2026</v>
      </c>
      <c r="H516" t="e">
        <f>+VLOOKUP(export?format_csv_gid_612082435[[#This Row],[Valor]],Listas!A:B,2,FALSE)</f>
        <v>#N/A</v>
      </c>
    </row>
    <row r="517" spans="1:8" hidden="1" x14ac:dyDescent="0.3">
      <c r="A517" t="s">
        <v>72</v>
      </c>
      <c r="B517" t="s">
        <v>88</v>
      </c>
      <c r="C517" t="s">
        <v>90</v>
      </c>
      <c r="D517" s="19">
        <v>46162</v>
      </c>
      <c r="E517" t="s">
        <v>77</v>
      </c>
      <c r="F517">
        <f>+_xlfn.ISOWEEKNUM(export?format_csv_gid_612082435[[#This Row],[Fecha]])</f>
        <v>21</v>
      </c>
      <c r="G517">
        <f>+YEAR(export?format_csv_gid_612082435[[#This Row],[Fecha]])</f>
        <v>2026</v>
      </c>
      <c r="H517" t="e">
        <f>+VLOOKUP(export?format_csv_gid_612082435[[#This Row],[Valor]],Listas!A:B,2,FALSE)</f>
        <v>#N/A</v>
      </c>
    </row>
    <row r="518" spans="1:8" hidden="1" x14ac:dyDescent="0.3">
      <c r="A518" t="s">
        <v>72</v>
      </c>
      <c r="B518" t="s">
        <v>88</v>
      </c>
      <c r="C518" t="s">
        <v>90</v>
      </c>
      <c r="D518" s="19">
        <v>46163</v>
      </c>
      <c r="E518" t="s">
        <v>77</v>
      </c>
      <c r="F518">
        <f>+_xlfn.ISOWEEKNUM(export?format_csv_gid_612082435[[#This Row],[Fecha]])</f>
        <v>21</v>
      </c>
      <c r="G518">
        <f>+YEAR(export?format_csv_gid_612082435[[#This Row],[Fecha]])</f>
        <v>2026</v>
      </c>
      <c r="H518" t="e">
        <f>+VLOOKUP(export?format_csv_gid_612082435[[#This Row],[Valor]],Listas!A:B,2,FALSE)</f>
        <v>#N/A</v>
      </c>
    </row>
    <row r="519" spans="1:8" hidden="1" x14ac:dyDescent="0.3">
      <c r="A519" t="s">
        <v>72</v>
      </c>
      <c r="B519" t="s">
        <v>88</v>
      </c>
      <c r="C519" t="s">
        <v>90</v>
      </c>
      <c r="D519" s="19">
        <v>46164</v>
      </c>
      <c r="E519" t="s">
        <v>77</v>
      </c>
      <c r="F519">
        <f>+_xlfn.ISOWEEKNUM(export?format_csv_gid_612082435[[#This Row],[Fecha]])</f>
        <v>21</v>
      </c>
      <c r="G519">
        <f>+YEAR(export?format_csv_gid_612082435[[#This Row],[Fecha]])</f>
        <v>2026</v>
      </c>
      <c r="H519" t="e">
        <f>+VLOOKUP(export?format_csv_gid_612082435[[#This Row],[Valor]],Listas!A:B,2,FALSE)</f>
        <v>#N/A</v>
      </c>
    </row>
    <row r="520" spans="1:8" hidden="1" x14ac:dyDescent="0.3">
      <c r="A520" t="s">
        <v>72</v>
      </c>
      <c r="B520" t="s">
        <v>88</v>
      </c>
      <c r="C520" t="s">
        <v>90</v>
      </c>
      <c r="D520" s="19">
        <v>46165</v>
      </c>
      <c r="E520" t="s">
        <v>77</v>
      </c>
      <c r="F520">
        <f>+_xlfn.ISOWEEKNUM(export?format_csv_gid_612082435[[#This Row],[Fecha]])</f>
        <v>21</v>
      </c>
      <c r="G520">
        <f>+YEAR(export?format_csv_gid_612082435[[#This Row],[Fecha]])</f>
        <v>2026</v>
      </c>
      <c r="H520" t="e">
        <f>+VLOOKUP(export?format_csv_gid_612082435[[#This Row],[Valor]],Listas!A:B,2,FALSE)</f>
        <v>#N/A</v>
      </c>
    </row>
    <row r="521" spans="1:8" hidden="1" x14ac:dyDescent="0.3">
      <c r="A521" t="s">
        <v>72</v>
      </c>
      <c r="B521" t="s">
        <v>88</v>
      </c>
      <c r="C521" t="s">
        <v>90</v>
      </c>
      <c r="D521" s="19">
        <v>46166</v>
      </c>
      <c r="E521" t="s">
        <v>77</v>
      </c>
      <c r="F521">
        <f>+_xlfn.ISOWEEKNUM(export?format_csv_gid_612082435[[#This Row],[Fecha]])</f>
        <v>21</v>
      </c>
      <c r="G521">
        <f>+YEAR(export?format_csv_gid_612082435[[#This Row],[Fecha]])</f>
        <v>2026</v>
      </c>
      <c r="H521" t="e">
        <f>+VLOOKUP(export?format_csv_gid_612082435[[#This Row],[Valor]],Listas!A:B,2,FALSE)</f>
        <v>#N/A</v>
      </c>
    </row>
    <row r="522" spans="1:8" hidden="1" x14ac:dyDescent="0.3">
      <c r="A522" t="s">
        <v>72</v>
      </c>
      <c r="B522" t="s">
        <v>88</v>
      </c>
      <c r="C522" t="s">
        <v>90</v>
      </c>
      <c r="D522" s="19">
        <v>46167</v>
      </c>
      <c r="E522" t="s">
        <v>77</v>
      </c>
      <c r="F522">
        <f>+_xlfn.ISOWEEKNUM(export?format_csv_gid_612082435[[#This Row],[Fecha]])</f>
        <v>22</v>
      </c>
      <c r="G522">
        <f>+YEAR(export?format_csv_gid_612082435[[#This Row],[Fecha]])</f>
        <v>2026</v>
      </c>
      <c r="H522" t="e">
        <f>+VLOOKUP(export?format_csv_gid_612082435[[#This Row],[Valor]],Listas!A:B,2,FALSE)</f>
        <v>#N/A</v>
      </c>
    </row>
    <row r="523" spans="1:8" hidden="1" x14ac:dyDescent="0.3">
      <c r="A523" t="s">
        <v>72</v>
      </c>
      <c r="B523" t="s">
        <v>88</v>
      </c>
      <c r="C523" t="s">
        <v>90</v>
      </c>
      <c r="D523" s="19">
        <v>46168</v>
      </c>
      <c r="E523" t="s">
        <v>77</v>
      </c>
      <c r="F523">
        <f>+_xlfn.ISOWEEKNUM(export?format_csv_gid_612082435[[#This Row],[Fecha]])</f>
        <v>22</v>
      </c>
      <c r="G523">
        <f>+YEAR(export?format_csv_gid_612082435[[#This Row],[Fecha]])</f>
        <v>2026</v>
      </c>
      <c r="H523" t="e">
        <f>+VLOOKUP(export?format_csv_gid_612082435[[#This Row],[Valor]],Listas!A:B,2,FALSE)</f>
        <v>#N/A</v>
      </c>
    </row>
    <row r="524" spans="1:8" hidden="1" x14ac:dyDescent="0.3">
      <c r="A524" t="s">
        <v>72</v>
      </c>
      <c r="B524" t="s">
        <v>88</v>
      </c>
      <c r="C524" t="s">
        <v>90</v>
      </c>
      <c r="D524" s="19">
        <v>46169</v>
      </c>
      <c r="E524" t="s">
        <v>77</v>
      </c>
      <c r="F524">
        <f>+_xlfn.ISOWEEKNUM(export?format_csv_gid_612082435[[#This Row],[Fecha]])</f>
        <v>22</v>
      </c>
      <c r="G524">
        <f>+YEAR(export?format_csv_gid_612082435[[#This Row],[Fecha]])</f>
        <v>2026</v>
      </c>
      <c r="H524" t="e">
        <f>+VLOOKUP(export?format_csv_gid_612082435[[#This Row],[Valor]],Listas!A:B,2,FALSE)</f>
        <v>#N/A</v>
      </c>
    </row>
    <row r="525" spans="1:8" hidden="1" x14ac:dyDescent="0.3">
      <c r="A525" t="s">
        <v>72</v>
      </c>
      <c r="B525" t="s">
        <v>88</v>
      </c>
      <c r="C525" t="s">
        <v>90</v>
      </c>
      <c r="D525" s="19">
        <v>46170</v>
      </c>
      <c r="E525" t="s">
        <v>77</v>
      </c>
      <c r="F525">
        <f>+_xlfn.ISOWEEKNUM(export?format_csv_gid_612082435[[#This Row],[Fecha]])</f>
        <v>22</v>
      </c>
      <c r="G525">
        <f>+YEAR(export?format_csv_gid_612082435[[#This Row],[Fecha]])</f>
        <v>2026</v>
      </c>
      <c r="H525" t="e">
        <f>+VLOOKUP(export?format_csv_gid_612082435[[#This Row],[Valor]],Listas!A:B,2,FALSE)</f>
        <v>#N/A</v>
      </c>
    </row>
    <row r="526" spans="1:8" hidden="1" x14ac:dyDescent="0.3">
      <c r="A526" t="s">
        <v>72</v>
      </c>
      <c r="B526" t="s">
        <v>88</v>
      </c>
      <c r="C526" t="s">
        <v>90</v>
      </c>
      <c r="D526" s="19">
        <v>46171</v>
      </c>
      <c r="E526" t="s">
        <v>77</v>
      </c>
      <c r="F526">
        <f>+_xlfn.ISOWEEKNUM(export?format_csv_gid_612082435[[#This Row],[Fecha]])</f>
        <v>22</v>
      </c>
      <c r="G526">
        <f>+YEAR(export?format_csv_gid_612082435[[#This Row],[Fecha]])</f>
        <v>2026</v>
      </c>
      <c r="H526" t="e">
        <f>+VLOOKUP(export?format_csv_gid_612082435[[#This Row],[Valor]],Listas!A:B,2,FALSE)</f>
        <v>#N/A</v>
      </c>
    </row>
    <row r="527" spans="1:8" hidden="1" x14ac:dyDescent="0.3">
      <c r="A527" t="s">
        <v>72</v>
      </c>
      <c r="B527" t="s">
        <v>88</v>
      </c>
      <c r="C527" t="s">
        <v>90</v>
      </c>
      <c r="D527" s="19">
        <v>46172</v>
      </c>
      <c r="E527" t="s">
        <v>77</v>
      </c>
      <c r="F527">
        <f>+_xlfn.ISOWEEKNUM(export?format_csv_gid_612082435[[#This Row],[Fecha]])</f>
        <v>22</v>
      </c>
      <c r="G527">
        <f>+YEAR(export?format_csv_gid_612082435[[#This Row],[Fecha]])</f>
        <v>2026</v>
      </c>
      <c r="H527" t="e">
        <f>+VLOOKUP(export?format_csv_gid_612082435[[#This Row],[Valor]],Listas!A:B,2,FALSE)</f>
        <v>#N/A</v>
      </c>
    </row>
    <row r="528" spans="1:8" hidden="1" x14ac:dyDescent="0.3">
      <c r="A528" t="s">
        <v>72</v>
      </c>
      <c r="B528" t="s">
        <v>88</v>
      </c>
      <c r="C528" t="s">
        <v>90</v>
      </c>
      <c r="D528" s="19">
        <v>46173</v>
      </c>
      <c r="E528" t="s">
        <v>77</v>
      </c>
      <c r="F528">
        <f>+_xlfn.ISOWEEKNUM(export?format_csv_gid_612082435[[#This Row],[Fecha]])</f>
        <v>22</v>
      </c>
      <c r="G528">
        <f>+YEAR(export?format_csv_gid_612082435[[#This Row],[Fecha]])</f>
        <v>2026</v>
      </c>
      <c r="H528" t="e">
        <f>+VLOOKUP(export?format_csv_gid_612082435[[#This Row],[Valor]],Listas!A:B,2,FALSE)</f>
        <v>#N/A</v>
      </c>
    </row>
    <row r="529" spans="1:8" hidden="1" x14ac:dyDescent="0.3">
      <c r="A529" t="s">
        <v>72</v>
      </c>
      <c r="B529" t="s">
        <v>88</v>
      </c>
      <c r="C529" t="s">
        <v>91</v>
      </c>
      <c r="D529" s="19">
        <v>46143</v>
      </c>
      <c r="E529" t="s">
        <v>76</v>
      </c>
      <c r="F529">
        <f>+_xlfn.ISOWEEKNUM(export?format_csv_gid_612082435[[#This Row],[Fecha]])</f>
        <v>18</v>
      </c>
      <c r="G529">
        <f>+YEAR(export?format_csv_gid_612082435[[#This Row],[Fecha]])</f>
        <v>2026</v>
      </c>
      <c r="H529" t="str">
        <f>+VLOOKUP(export?format_csv_gid_612082435[[#This Row],[Valor]],Listas!A:B,2,FALSE)</f>
        <v>Asistencia</v>
      </c>
    </row>
    <row r="530" spans="1:8" hidden="1" x14ac:dyDescent="0.3">
      <c r="A530" t="s">
        <v>72</v>
      </c>
      <c r="B530" t="s">
        <v>88</v>
      </c>
      <c r="C530" t="s">
        <v>91</v>
      </c>
      <c r="D530" s="19">
        <v>46144</v>
      </c>
      <c r="E530" t="s">
        <v>75</v>
      </c>
      <c r="F530">
        <f>+_xlfn.ISOWEEKNUM(export?format_csv_gid_612082435[[#This Row],[Fecha]])</f>
        <v>18</v>
      </c>
      <c r="G530">
        <f>+YEAR(export?format_csv_gid_612082435[[#This Row],[Fecha]])</f>
        <v>2026</v>
      </c>
      <c r="H530" t="str">
        <f>+VLOOKUP(export?format_csv_gid_612082435[[#This Row],[Valor]],Listas!A:B,2,FALSE)</f>
        <v>No Remunerado</v>
      </c>
    </row>
    <row r="531" spans="1:8" hidden="1" x14ac:dyDescent="0.3">
      <c r="A531" t="s">
        <v>72</v>
      </c>
      <c r="B531" t="s">
        <v>88</v>
      </c>
      <c r="C531" t="s">
        <v>91</v>
      </c>
      <c r="D531" s="19">
        <v>46145</v>
      </c>
      <c r="E531" t="s">
        <v>75</v>
      </c>
      <c r="F531">
        <f>+_xlfn.ISOWEEKNUM(export?format_csv_gid_612082435[[#This Row],[Fecha]])</f>
        <v>18</v>
      </c>
      <c r="G531">
        <f>+YEAR(export?format_csv_gid_612082435[[#This Row],[Fecha]])</f>
        <v>2026</v>
      </c>
      <c r="H531" t="str">
        <f>+VLOOKUP(export?format_csv_gid_612082435[[#This Row],[Valor]],Listas!A:B,2,FALSE)</f>
        <v>No Remunerado</v>
      </c>
    </row>
    <row r="532" spans="1:8" hidden="1" x14ac:dyDescent="0.3">
      <c r="A532" t="s">
        <v>72</v>
      </c>
      <c r="B532" t="s">
        <v>88</v>
      </c>
      <c r="C532" t="s">
        <v>91</v>
      </c>
      <c r="D532" s="19">
        <v>46146</v>
      </c>
      <c r="E532" t="s">
        <v>76</v>
      </c>
      <c r="F532">
        <f>+_xlfn.ISOWEEKNUM(export?format_csv_gid_612082435[[#This Row],[Fecha]])</f>
        <v>19</v>
      </c>
      <c r="G532">
        <f>+YEAR(export?format_csv_gid_612082435[[#This Row],[Fecha]])</f>
        <v>2026</v>
      </c>
      <c r="H532" t="str">
        <f>+VLOOKUP(export?format_csv_gid_612082435[[#This Row],[Valor]],Listas!A:B,2,FALSE)</f>
        <v>Asistencia</v>
      </c>
    </row>
    <row r="533" spans="1:8" hidden="1" x14ac:dyDescent="0.3">
      <c r="A533" t="s">
        <v>72</v>
      </c>
      <c r="B533" t="s">
        <v>88</v>
      </c>
      <c r="C533" t="s">
        <v>91</v>
      </c>
      <c r="D533" s="19">
        <v>46147</v>
      </c>
      <c r="E533" t="s">
        <v>76</v>
      </c>
      <c r="F533">
        <f>+_xlfn.ISOWEEKNUM(export?format_csv_gid_612082435[[#This Row],[Fecha]])</f>
        <v>19</v>
      </c>
      <c r="G533">
        <f>+YEAR(export?format_csv_gid_612082435[[#This Row],[Fecha]])</f>
        <v>2026</v>
      </c>
      <c r="H533" t="str">
        <f>+VLOOKUP(export?format_csv_gid_612082435[[#This Row],[Valor]],Listas!A:B,2,FALSE)</f>
        <v>Asistencia</v>
      </c>
    </row>
    <row r="534" spans="1:8" hidden="1" x14ac:dyDescent="0.3">
      <c r="A534" t="s">
        <v>72</v>
      </c>
      <c r="B534" t="s">
        <v>88</v>
      </c>
      <c r="C534" t="s">
        <v>91</v>
      </c>
      <c r="D534" s="19">
        <v>46148</v>
      </c>
      <c r="E534" t="s">
        <v>76</v>
      </c>
      <c r="F534">
        <f>+_xlfn.ISOWEEKNUM(export?format_csv_gid_612082435[[#This Row],[Fecha]])</f>
        <v>19</v>
      </c>
      <c r="G534">
        <f>+YEAR(export?format_csv_gid_612082435[[#This Row],[Fecha]])</f>
        <v>2026</v>
      </c>
      <c r="H534" t="str">
        <f>+VLOOKUP(export?format_csv_gid_612082435[[#This Row],[Valor]],Listas!A:B,2,FALSE)</f>
        <v>Asistencia</v>
      </c>
    </row>
    <row r="535" spans="1:8" hidden="1" x14ac:dyDescent="0.3">
      <c r="A535" t="s">
        <v>72</v>
      </c>
      <c r="B535" t="s">
        <v>88</v>
      </c>
      <c r="C535" t="s">
        <v>91</v>
      </c>
      <c r="D535" s="19">
        <v>46149</v>
      </c>
      <c r="E535" t="s">
        <v>76</v>
      </c>
      <c r="F535">
        <f>+_xlfn.ISOWEEKNUM(export?format_csv_gid_612082435[[#This Row],[Fecha]])</f>
        <v>19</v>
      </c>
      <c r="G535">
        <f>+YEAR(export?format_csv_gid_612082435[[#This Row],[Fecha]])</f>
        <v>2026</v>
      </c>
      <c r="H535" t="str">
        <f>+VLOOKUP(export?format_csv_gid_612082435[[#This Row],[Valor]],Listas!A:B,2,FALSE)</f>
        <v>Asistencia</v>
      </c>
    </row>
    <row r="536" spans="1:8" hidden="1" x14ac:dyDescent="0.3">
      <c r="A536" t="s">
        <v>72</v>
      </c>
      <c r="B536" t="s">
        <v>88</v>
      </c>
      <c r="C536" t="s">
        <v>91</v>
      </c>
      <c r="D536" s="19">
        <v>46150</v>
      </c>
      <c r="E536" t="s">
        <v>76</v>
      </c>
      <c r="F536">
        <f>+_xlfn.ISOWEEKNUM(export?format_csv_gid_612082435[[#This Row],[Fecha]])</f>
        <v>19</v>
      </c>
      <c r="G536">
        <f>+YEAR(export?format_csv_gid_612082435[[#This Row],[Fecha]])</f>
        <v>2026</v>
      </c>
      <c r="H536" t="str">
        <f>+VLOOKUP(export?format_csv_gid_612082435[[#This Row],[Valor]],Listas!A:B,2,FALSE)</f>
        <v>Asistencia</v>
      </c>
    </row>
    <row r="537" spans="1:8" hidden="1" x14ac:dyDescent="0.3">
      <c r="A537" t="s">
        <v>72</v>
      </c>
      <c r="B537" t="s">
        <v>88</v>
      </c>
      <c r="C537" t="s">
        <v>91</v>
      </c>
      <c r="D537" s="19">
        <v>46151</v>
      </c>
      <c r="E537" t="s">
        <v>76</v>
      </c>
      <c r="F537">
        <f>+_xlfn.ISOWEEKNUM(export?format_csv_gid_612082435[[#This Row],[Fecha]])</f>
        <v>19</v>
      </c>
      <c r="G537">
        <f>+YEAR(export?format_csv_gid_612082435[[#This Row],[Fecha]])</f>
        <v>2026</v>
      </c>
      <c r="H537" t="str">
        <f>+VLOOKUP(export?format_csv_gid_612082435[[#This Row],[Valor]],Listas!A:B,2,FALSE)</f>
        <v>Asistencia</v>
      </c>
    </row>
    <row r="538" spans="1:8" hidden="1" x14ac:dyDescent="0.3">
      <c r="A538" t="s">
        <v>72</v>
      </c>
      <c r="B538" t="s">
        <v>88</v>
      </c>
      <c r="C538" t="s">
        <v>91</v>
      </c>
      <c r="D538" s="19">
        <v>46152</v>
      </c>
      <c r="E538" t="s">
        <v>113</v>
      </c>
      <c r="F538">
        <f>+_xlfn.ISOWEEKNUM(export?format_csv_gid_612082435[[#This Row],[Fecha]])</f>
        <v>19</v>
      </c>
      <c r="G538">
        <f>+YEAR(export?format_csv_gid_612082435[[#This Row],[Fecha]])</f>
        <v>2026</v>
      </c>
      <c r="H538" t="str">
        <f>+VLOOKUP(export?format_csv_gid_612082435[[#This Row],[Valor]],Listas!A:B,2,FALSE)</f>
        <v>D. Remunerado</v>
      </c>
    </row>
    <row r="539" spans="1:8" hidden="1" x14ac:dyDescent="0.3">
      <c r="A539" t="s">
        <v>72</v>
      </c>
      <c r="B539" t="s">
        <v>88</v>
      </c>
      <c r="C539" t="s">
        <v>91</v>
      </c>
      <c r="D539" s="19">
        <v>46153</v>
      </c>
      <c r="E539" t="s">
        <v>76</v>
      </c>
      <c r="F539">
        <f>+_xlfn.ISOWEEKNUM(export?format_csv_gid_612082435[[#This Row],[Fecha]])</f>
        <v>20</v>
      </c>
      <c r="G539">
        <f>+YEAR(export?format_csv_gid_612082435[[#This Row],[Fecha]])</f>
        <v>2026</v>
      </c>
      <c r="H539" t="str">
        <f>+VLOOKUP(export?format_csv_gid_612082435[[#This Row],[Valor]],Listas!A:B,2,FALSE)</f>
        <v>Asistencia</v>
      </c>
    </row>
    <row r="540" spans="1:8" hidden="1" x14ac:dyDescent="0.3">
      <c r="A540" t="s">
        <v>72</v>
      </c>
      <c r="B540" t="s">
        <v>88</v>
      </c>
      <c r="C540" t="s">
        <v>91</v>
      </c>
      <c r="D540" s="19">
        <v>46154</v>
      </c>
      <c r="E540" t="s">
        <v>76</v>
      </c>
      <c r="F540">
        <f>+_xlfn.ISOWEEKNUM(export?format_csv_gid_612082435[[#This Row],[Fecha]])</f>
        <v>20</v>
      </c>
      <c r="G540">
        <f>+YEAR(export?format_csv_gid_612082435[[#This Row],[Fecha]])</f>
        <v>2026</v>
      </c>
      <c r="H540" t="str">
        <f>+VLOOKUP(export?format_csv_gid_612082435[[#This Row],[Valor]],Listas!A:B,2,FALSE)</f>
        <v>Asistencia</v>
      </c>
    </row>
    <row r="541" spans="1:8" hidden="1" x14ac:dyDescent="0.3">
      <c r="A541" t="s">
        <v>72</v>
      </c>
      <c r="B541" t="s">
        <v>88</v>
      </c>
      <c r="C541" t="s">
        <v>91</v>
      </c>
      <c r="D541" s="19">
        <v>46155</v>
      </c>
      <c r="E541" t="s">
        <v>76</v>
      </c>
      <c r="F541">
        <f>+_xlfn.ISOWEEKNUM(export?format_csv_gid_612082435[[#This Row],[Fecha]])</f>
        <v>20</v>
      </c>
      <c r="G541">
        <f>+YEAR(export?format_csv_gid_612082435[[#This Row],[Fecha]])</f>
        <v>2026</v>
      </c>
      <c r="H541" t="str">
        <f>+VLOOKUP(export?format_csv_gid_612082435[[#This Row],[Valor]],Listas!A:B,2,FALSE)</f>
        <v>Asistencia</v>
      </c>
    </row>
    <row r="542" spans="1:8" hidden="1" x14ac:dyDescent="0.3">
      <c r="A542" t="s">
        <v>72</v>
      </c>
      <c r="B542" t="s">
        <v>88</v>
      </c>
      <c r="C542" t="s">
        <v>91</v>
      </c>
      <c r="D542" s="19">
        <v>46156</v>
      </c>
      <c r="E542" t="s">
        <v>76</v>
      </c>
      <c r="F542">
        <f>+_xlfn.ISOWEEKNUM(export?format_csv_gid_612082435[[#This Row],[Fecha]])</f>
        <v>20</v>
      </c>
      <c r="G542">
        <f>+YEAR(export?format_csv_gid_612082435[[#This Row],[Fecha]])</f>
        <v>2026</v>
      </c>
      <c r="H542" t="str">
        <f>+VLOOKUP(export?format_csv_gid_612082435[[#This Row],[Valor]],Listas!A:B,2,FALSE)</f>
        <v>Asistencia</v>
      </c>
    </row>
    <row r="543" spans="1:8" hidden="1" x14ac:dyDescent="0.3">
      <c r="A543" t="s">
        <v>72</v>
      </c>
      <c r="B543" t="s">
        <v>88</v>
      </c>
      <c r="C543" t="s">
        <v>91</v>
      </c>
      <c r="D543" s="19">
        <v>46157</v>
      </c>
      <c r="E543" t="s">
        <v>76</v>
      </c>
      <c r="F543">
        <f>+_xlfn.ISOWEEKNUM(export?format_csv_gid_612082435[[#This Row],[Fecha]])</f>
        <v>20</v>
      </c>
      <c r="G543">
        <f>+YEAR(export?format_csv_gid_612082435[[#This Row],[Fecha]])</f>
        <v>2026</v>
      </c>
      <c r="H543" t="str">
        <f>+VLOOKUP(export?format_csv_gid_612082435[[#This Row],[Valor]],Listas!A:B,2,FALSE)</f>
        <v>Asistencia</v>
      </c>
    </row>
    <row r="544" spans="1:8" hidden="1" x14ac:dyDescent="0.3">
      <c r="A544" t="s">
        <v>72</v>
      </c>
      <c r="B544" t="s">
        <v>88</v>
      </c>
      <c r="C544" t="s">
        <v>91</v>
      </c>
      <c r="D544" s="19">
        <v>46158</v>
      </c>
      <c r="E544" t="s">
        <v>77</v>
      </c>
      <c r="F544">
        <f>+_xlfn.ISOWEEKNUM(export?format_csv_gid_612082435[[#This Row],[Fecha]])</f>
        <v>20</v>
      </c>
      <c r="G544">
        <f>+YEAR(export?format_csv_gid_612082435[[#This Row],[Fecha]])</f>
        <v>2026</v>
      </c>
      <c r="H544" t="e">
        <f>+VLOOKUP(export?format_csv_gid_612082435[[#This Row],[Valor]],Listas!A:B,2,FALSE)</f>
        <v>#N/A</v>
      </c>
    </row>
    <row r="545" spans="1:8" hidden="1" x14ac:dyDescent="0.3">
      <c r="A545" t="s">
        <v>72</v>
      </c>
      <c r="B545" t="s">
        <v>88</v>
      </c>
      <c r="C545" t="s">
        <v>91</v>
      </c>
      <c r="D545" s="19">
        <v>46159</v>
      </c>
      <c r="E545" t="s">
        <v>77</v>
      </c>
      <c r="F545">
        <f>+_xlfn.ISOWEEKNUM(export?format_csv_gid_612082435[[#This Row],[Fecha]])</f>
        <v>20</v>
      </c>
      <c r="G545">
        <f>+YEAR(export?format_csv_gid_612082435[[#This Row],[Fecha]])</f>
        <v>2026</v>
      </c>
      <c r="H545" t="e">
        <f>+VLOOKUP(export?format_csv_gid_612082435[[#This Row],[Valor]],Listas!A:B,2,FALSE)</f>
        <v>#N/A</v>
      </c>
    </row>
    <row r="546" spans="1:8" hidden="1" x14ac:dyDescent="0.3">
      <c r="A546" t="s">
        <v>72</v>
      </c>
      <c r="B546" t="s">
        <v>88</v>
      </c>
      <c r="C546" t="s">
        <v>91</v>
      </c>
      <c r="D546" s="19">
        <v>46160</v>
      </c>
      <c r="E546" t="s">
        <v>77</v>
      </c>
      <c r="F546">
        <f>+_xlfn.ISOWEEKNUM(export?format_csv_gid_612082435[[#This Row],[Fecha]])</f>
        <v>21</v>
      </c>
      <c r="G546">
        <f>+YEAR(export?format_csv_gid_612082435[[#This Row],[Fecha]])</f>
        <v>2026</v>
      </c>
      <c r="H546" t="e">
        <f>+VLOOKUP(export?format_csv_gid_612082435[[#This Row],[Valor]],Listas!A:B,2,FALSE)</f>
        <v>#N/A</v>
      </c>
    </row>
    <row r="547" spans="1:8" hidden="1" x14ac:dyDescent="0.3">
      <c r="A547" t="s">
        <v>72</v>
      </c>
      <c r="B547" t="s">
        <v>88</v>
      </c>
      <c r="C547" t="s">
        <v>91</v>
      </c>
      <c r="D547" s="19">
        <v>46161</v>
      </c>
      <c r="E547" t="s">
        <v>77</v>
      </c>
      <c r="F547">
        <f>+_xlfn.ISOWEEKNUM(export?format_csv_gid_612082435[[#This Row],[Fecha]])</f>
        <v>21</v>
      </c>
      <c r="G547">
        <f>+YEAR(export?format_csv_gid_612082435[[#This Row],[Fecha]])</f>
        <v>2026</v>
      </c>
      <c r="H547" t="e">
        <f>+VLOOKUP(export?format_csv_gid_612082435[[#This Row],[Valor]],Listas!A:B,2,FALSE)</f>
        <v>#N/A</v>
      </c>
    </row>
    <row r="548" spans="1:8" hidden="1" x14ac:dyDescent="0.3">
      <c r="A548" t="s">
        <v>72</v>
      </c>
      <c r="B548" t="s">
        <v>88</v>
      </c>
      <c r="C548" t="s">
        <v>91</v>
      </c>
      <c r="D548" s="19">
        <v>46162</v>
      </c>
      <c r="E548" t="s">
        <v>77</v>
      </c>
      <c r="F548">
        <f>+_xlfn.ISOWEEKNUM(export?format_csv_gid_612082435[[#This Row],[Fecha]])</f>
        <v>21</v>
      </c>
      <c r="G548">
        <f>+YEAR(export?format_csv_gid_612082435[[#This Row],[Fecha]])</f>
        <v>2026</v>
      </c>
      <c r="H548" t="e">
        <f>+VLOOKUP(export?format_csv_gid_612082435[[#This Row],[Valor]],Listas!A:B,2,FALSE)</f>
        <v>#N/A</v>
      </c>
    </row>
    <row r="549" spans="1:8" hidden="1" x14ac:dyDescent="0.3">
      <c r="A549" t="s">
        <v>72</v>
      </c>
      <c r="B549" t="s">
        <v>88</v>
      </c>
      <c r="C549" t="s">
        <v>91</v>
      </c>
      <c r="D549" s="19">
        <v>46163</v>
      </c>
      <c r="E549" t="s">
        <v>77</v>
      </c>
      <c r="F549">
        <f>+_xlfn.ISOWEEKNUM(export?format_csv_gid_612082435[[#This Row],[Fecha]])</f>
        <v>21</v>
      </c>
      <c r="G549">
        <f>+YEAR(export?format_csv_gid_612082435[[#This Row],[Fecha]])</f>
        <v>2026</v>
      </c>
      <c r="H549" t="e">
        <f>+VLOOKUP(export?format_csv_gid_612082435[[#This Row],[Valor]],Listas!A:B,2,FALSE)</f>
        <v>#N/A</v>
      </c>
    </row>
    <row r="550" spans="1:8" hidden="1" x14ac:dyDescent="0.3">
      <c r="A550" t="s">
        <v>72</v>
      </c>
      <c r="B550" t="s">
        <v>88</v>
      </c>
      <c r="C550" t="s">
        <v>91</v>
      </c>
      <c r="D550" s="19">
        <v>46164</v>
      </c>
      <c r="E550" t="s">
        <v>77</v>
      </c>
      <c r="F550">
        <f>+_xlfn.ISOWEEKNUM(export?format_csv_gid_612082435[[#This Row],[Fecha]])</f>
        <v>21</v>
      </c>
      <c r="G550">
        <f>+YEAR(export?format_csv_gid_612082435[[#This Row],[Fecha]])</f>
        <v>2026</v>
      </c>
      <c r="H550" t="e">
        <f>+VLOOKUP(export?format_csv_gid_612082435[[#This Row],[Valor]],Listas!A:B,2,FALSE)</f>
        <v>#N/A</v>
      </c>
    </row>
    <row r="551" spans="1:8" hidden="1" x14ac:dyDescent="0.3">
      <c r="A551" t="s">
        <v>72</v>
      </c>
      <c r="B551" t="s">
        <v>88</v>
      </c>
      <c r="C551" t="s">
        <v>91</v>
      </c>
      <c r="D551" s="19">
        <v>46165</v>
      </c>
      <c r="E551" t="s">
        <v>77</v>
      </c>
      <c r="F551">
        <f>+_xlfn.ISOWEEKNUM(export?format_csv_gid_612082435[[#This Row],[Fecha]])</f>
        <v>21</v>
      </c>
      <c r="G551">
        <f>+YEAR(export?format_csv_gid_612082435[[#This Row],[Fecha]])</f>
        <v>2026</v>
      </c>
      <c r="H551" t="e">
        <f>+VLOOKUP(export?format_csv_gid_612082435[[#This Row],[Valor]],Listas!A:B,2,FALSE)</f>
        <v>#N/A</v>
      </c>
    </row>
    <row r="552" spans="1:8" hidden="1" x14ac:dyDescent="0.3">
      <c r="A552" t="s">
        <v>72</v>
      </c>
      <c r="B552" t="s">
        <v>88</v>
      </c>
      <c r="C552" t="s">
        <v>91</v>
      </c>
      <c r="D552" s="19">
        <v>46166</v>
      </c>
      <c r="E552" t="s">
        <v>77</v>
      </c>
      <c r="F552">
        <f>+_xlfn.ISOWEEKNUM(export?format_csv_gid_612082435[[#This Row],[Fecha]])</f>
        <v>21</v>
      </c>
      <c r="G552">
        <f>+YEAR(export?format_csv_gid_612082435[[#This Row],[Fecha]])</f>
        <v>2026</v>
      </c>
      <c r="H552" t="e">
        <f>+VLOOKUP(export?format_csv_gid_612082435[[#This Row],[Valor]],Listas!A:B,2,FALSE)</f>
        <v>#N/A</v>
      </c>
    </row>
    <row r="553" spans="1:8" hidden="1" x14ac:dyDescent="0.3">
      <c r="A553" t="s">
        <v>72</v>
      </c>
      <c r="B553" t="s">
        <v>88</v>
      </c>
      <c r="C553" t="s">
        <v>91</v>
      </c>
      <c r="D553" s="19">
        <v>46167</v>
      </c>
      <c r="E553" t="s">
        <v>77</v>
      </c>
      <c r="F553">
        <f>+_xlfn.ISOWEEKNUM(export?format_csv_gid_612082435[[#This Row],[Fecha]])</f>
        <v>22</v>
      </c>
      <c r="G553">
        <f>+YEAR(export?format_csv_gid_612082435[[#This Row],[Fecha]])</f>
        <v>2026</v>
      </c>
      <c r="H553" t="e">
        <f>+VLOOKUP(export?format_csv_gid_612082435[[#This Row],[Valor]],Listas!A:B,2,FALSE)</f>
        <v>#N/A</v>
      </c>
    </row>
    <row r="554" spans="1:8" hidden="1" x14ac:dyDescent="0.3">
      <c r="A554" t="s">
        <v>72</v>
      </c>
      <c r="B554" t="s">
        <v>88</v>
      </c>
      <c r="C554" t="s">
        <v>91</v>
      </c>
      <c r="D554" s="19">
        <v>46168</v>
      </c>
      <c r="E554" t="s">
        <v>77</v>
      </c>
      <c r="F554">
        <f>+_xlfn.ISOWEEKNUM(export?format_csv_gid_612082435[[#This Row],[Fecha]])</f>
        <v>22</v>
      </c>
      <c r="G554">
        <f>+YEAR(export?format_csv_gid_612082435[[#This Row],[Fecha]])</f>
        <v>2026</v>
      </c>
      <c r="H554" t="e">
        <f>+VLOOKUP(export?format_csv_gid_612082435[[#This Row],[Valor]],Listas!A:B,2,FALSE)</f>
        <v>#N/A</v>
      </c>
    </row>
    <row r="555" spans="1:8" hidden="1" x14ac:dyDescent="0.3">
      <c r="A555" t="s">
        <v>72</v>
      </c>
      <c r="B555" t="s">
        <v>88</v>
      </c>
      <c r="C555" t="s">
        <v>91</v>
      </c>
      <c r="D555" s="19">
        <v>46169</v>
      </c>
      <c r="E555" t="s">
        <v>77</v>
      </c>
      <c r="F555">
        <f>+_xlfn.ISOWEEKNUM(export?format_csv_gid_612082435[[#This Row],[Fecha]])</f>
        <v>22</v>
      </c>
      <c r="G555">
        <f>+YEAR(export?format_csv_gid_612082435[[#This Row],[Fecha]])</f>
        <v>2026</v>
      </c>
      <c r="H555" t="e">
        <f>+VLOOKUP(export?format_csv_gid_612082435[[#This Row],[Valor]],Listas!A:B,2,FALSE)</f>
        <v>#N/A</v>
      </c>
    </row>
    <row r="556" spans="1:8" hidden="1" x14ac:dyDescent="0.3">
      <c r="A556" t="s">
        <v>72</v>
      </c>
      <c r="B556" t="s">
        <v>88</v>
      </c>
      <c r="C556" t="s">
        <v>91</v>
      </c>
      <c r="D556" s="19">
        <v>46170</v>
      </c>
      <c r="E556" t="s">
        <v>77</v>
      </c>
      <c r="F556">
        <f>+_xlfn.ISOWEEKNUM(export?format_csv_gid_612082435[[#This Row],[Fecha]])</f>
        <v>22</v>
      </c>
      <c r="G556">
        <f>+YEAR(export?format_csv_gid_612082435[[#This Row],[Fecha]])</f>
        <v>2026</v>
      </c>
      <c r="H556" t="e">
        <f>+VLOOKUP(export?format_csv_gid_612082435[[#This Row],[Valor]],Listas!A:B,2,FALSE)</f>
        <v>#N/A</v>
      </c>
    </row>
    <row r="557" spans="1:8" hidden="1" x14ac:dyDescent="0.3">
      <c r="A557" t="s">
        <v>72</v>
      </c>
      <c r="B557" t="s">
        <v>88</v>
      </c>
      <c r="C557" t="s">
        <v>91</v>
      </c>
      <c r="D557" s="19">
        <v>46171</v>
      </c>
      <c r="E557" t="s">
        <v>77</v>
      </c>
      <c r="F557">
        <f>+_xlfn.ISOWEEKNUM(export?format_csv_gid_612082435[[#This Row],[Fecha]])</f>
        <v>22</v>
      </c>
      <c r="G557">
        <f>+YEAR(export?format_csv_gid_612082435[[#This Row],[Fecha]])</f>
        <v>2026</v>
      </c>
      <c r="H557" t="e">
        <f>+VLOOKUP(export?format_csv_gid_612082435[[#This Row],[Valor]],Listas!A:B,2,FALSE)</f>
        <v>#N/A</v>
      </c>
    </row>
    <row r="558" spans="1:8" hidden="1" x14ac:dyDescent="0.3">
      <c r="A558" t="s">
        <v>72</v>
      </c>
      <c r="B558" t="s">
        <v>88</v>
      </c>
      <c r="C558" t="s">
        <v>91</v>
      </c>
      <c r="D558" s="19">
        <v>46172</v>
      </c>
      <c r="E558" t="s">
        <v>77</v>
      </c>
      <c r="F558">
        <f>+_xlfn.ISOWEEKNUM(export?format_csv_gid_612082435[[#This Row],[Fecha]])</f>
        <v>22</v>
      </c>
      <c r="G558">
        <f>+YEAR(export?format_csv_gid_612082435[[#This Row],[Fecha]])</f>
        <v>2026</v>
      </c>
      <c r="H558" t="e">
        <f>+VLOOKUP(export?format_csv_gid_612082435[[#This Row],[Valor]],Listas!A:B,2,FALSE)</f>
        <v>#N/A</v>
      </c>
    </row>
    <row r="559" spans="1:8" hidden="1" x14ac:dyDescent="0.3">
      <c r="A559" t="s">
        <v>72</v>
      </c>
      <c r="B559" t="s">
        <v>88</v>
      </c>
      <c r="C559" t="s">
        <v>91</v>
      </c>
      <c r="D559" s="19">
        <v>46173</v>
      </c>
      <c r="E559" t="s">
        <v>77</v>
      </c>
      <c r="F559">
        <f>+_xlfn.ISOWEEKNUM(export?format_csv_gid_612082435[[#This Row],[Fecha]])</f>
        <v>22</v>
      </c>
      <c r="G559">
        <f>+YEAR(export?format_csv_gid_612082435[[#This Row],[Fecha]])</f>
        <v>2026</v>
      </c>
      <c r="H559" t="e">
        <f>+VLOOKUP(export?format_csv_gid_612082435[[#This Row],[Valor]],Listas!A:B,2,FALSE)</f>
        <v>#N/A</v>
      </c>
    </row>
    <row r="560" spans="1:8" hidden="1" x14ac:dyDescent="0.3">
      <c r="A560" t="s">
        <v>72</v>
      </c>
      <c r="B560" t="s">
        <v>88</v>
      </c>
      <c r="C560" t="s">
        <v>146</v>
      </c>
      <c r="D560" s="19">
        <v>46143</v>
      </c>
      <c r="E560" t="s">
        <v>76</v>
      </c>
      <c r="F560">
        <f>+_xlfn.ISOWEEKNUM(export?format_csv_gid_612082435[[#This Row],[Fecha]])</f>
        <v>18</v>
      </c>
      <c r="G560">
        <f>+YEAR(export?format_csv_gid_612082435[[#This Row],[Fecha]])</f>
        <v>2026</v>
      </c>
      <c r="H560" t="str">
        <f>+VLOOKUP(export?format_csv_gid_612082435[[#This Row],[Valor]],Listas!A:B,2,FALSE)</f>
        <v>Asistencia</v>
      </c>
    </row>
    <row r="561" spans="1:8" hidden="1" x14ac:dyDescent="0.3">
      <c r="A561" t="s">
        <v>72</v>
      </c>
      <c r="B561" t="s">
        <v>88</v>
      </c>
      <c r="C561" t="s">
        <v>146</v>
      </c>
      <c r="D561" s="19">
        <v>46144</v>
      </c>
      <c r="E561" t="s">
        <v>75</v>
      </c>
      <c r="F561">
        <f>+_xlfn.ISOWEEKNUM(export?format_csv_gid_612082435[[#This Row],[Fecha]])</f>
        <v>18</v>
      </c>
      <c r="G561">
        <f>+YEAR(export?format_csv_gid_612082435[[#This Row],[Fecha]])</f>
        <v>2026</v>
      </c>
      <c r="H561" t="str">
        <f>+VLOOKUP(export?format_csv_gid_612082435[[#This Row],[Valor]],Listas!A:B,2,FALSE)</f>
        <v>No Remunerado</v>
      </c>
    </row>
    <row r="562" spans="1:8" hidden="1" x14ac:dyDescent="0.3">
      <c r="A562" t="s">
        <v>72</v>
      </c>
      <c r="B562" t="s">
        <v>88</v>
      </c>
      <c r="C562" t="s">
        <v>146</v>
      </c>
      <c r="D562" s="19">
        <v>46145</v>
      </c>
      <c r="E562" t="s">
        <v>75</v>
      </c>
      <c r="F562">
        <f>+_xlfn.ISOWEEKNUM(export?format_csv_gid_612082435[[#This Row],[Fecha]])</f>
        <v>18</v>
      </c>
      <c r="G562">
        <f>+YEAR(export?format_csv_gid_612082435[[#This Row],[Fecha]])</f>
        <v>2026</v>
      </c>
      <c r="H562" t="str">
        <f>+VLOOKUP(export?format_csv_gid_612082435[[#This Row],[Valor]],Listas!A:B,2,FALSE)</f>
        <v>No Remunerado</v>
      </c>
    </row>
    <row r="563" spans="1:8" hidden="1" x14ac:dyDescent="0.3">
      <c r="A563" t="s">
        <v>72</v>
      </c>
      <c r="B563" t="s">
        <v>88</v>
      </c>
      <c r="C563" t="s">
        <v>146</v>
      </c>
      <c r="D563" s="19">
        <v>46146</v>
      </c>
      <c r="E563" t="s">
        <v>76</v>
      </c>
      <c r="F563">
        <f>+_xlfn.ISOWEEKNUM(export?format_csv_gid_612082435[[#This Row],[Fecha]])</f>
        <v>19</v>
      </c>
      <c r="G563">
        <f>+YEAR(export?format_csv_gid_612082435[[#This Row],[Fecha]])</f>
        <v>2026</v>
      </c>
      <c r="H563" t="str">
        <f>+VLOOKUP(export?format_csv_gid_612082435[[#This Row],[Valor]],Listas!A:B,2,FALSE)</f>
        <v>Asistencia</v>
      </c>
    </row>
    <row r="564" spans="1:8" hidden="1" x14ac:dyDescent="0.3">
      <c r="A564" t="s">
        <v>72</v>
      </c>
      <c r="B564" t="s">
        <v>88</v>
      </c>
      <c r="C564" t="s">
        <v>146</v>
      </c>
      <c r="D564" s="19">
        <v>46147</v>
      </c>
      <c r="E564" t="s">
        <v>76</v>
      </c>
      <c r="F564">
        <f>+_xlfn.ISOWEEKNUM(export?format_csv_gid_612082435[[#This Row],[Fecha]])</f>
        <v>19</v>
      </c>
      <c r="G564">
        <f>+YEAR(export?format_csv_gid_612082435[[#This Row],[Fecha]])</f>
        <v>2026</v>
      </c>
      <c r="H564" t="str">
        <f>+VLOOKUP(export?format_csv_gid_612082435[[#This Row],[Valor]],Listas!A:B,2,FALSE)</f>
        <v>Asistencia</v>
      </c>
    </row>
    <row r="565" spans="1:8" hidden="1" x14ac:dyDescent="0.3">
      <c r="A565" t="s">
        <v>72</v>
      </c>
      <c r="B565" t="s">
        <v>88</v>
      </c>
      <c r="C565" t="s">
        <v>146</v>
      </c>
      <c r="D565" s="19">
        <v>46148</v>
      </c>
      <c r="E565" t="s">
        <v>76</v>
      </c>
      <c r="F565">
        <f>+_xlfn.ISOWEEKNUM(export?format_csv_gid_612082435[[#This Row],[Fecha]])</f>
        <v>19</v>
      </c>
      <c r="G565">
        <f>+YEAR(export?format_csv_gid_612082435[[#This Row],[Fecha]])</f>
        <v>2026</v>
      </c>
      <c r="H565" t="str">
        <f>+VLOOKUP(export?format_csv_gid_612082435[[#This Row],[Valor]],Listas!A:B,2,FALSE)</f>
        <v>Asistencia</v>
      </c>
    </row>
    <row r="566" spans="1:8" hidden="1" x14ac:dyDescent="0.3">
      <c r="A566" t="s">
        <v>72</v>
      </c>
      <c r="B566" t="s">
        <v>88</v>
      </c>
      <c r="C566" t="s">
        <v>146</v>
      </c>
      <c r="D566" s="19">
        <v>46149</v>
      </c>
      <c r="E566" t="s">
        <v>76</v>
      </c>
      <c r="F566">
        <f>+_xlfn.ISOWEEKNUM(export?format_csv_gid_612082435[[#This Row],[Fecha]])</f>
        <v>19</v>
      </c>
      <c r="G566">
        <f>+YEAR(export?format_csv_gid_612082435[[#This Row],[Fecha]])</f>
        <v>2026</v>
      </c>
      <c r="H566" t="str">
        <f>+VLOOKUP(export?format_csv_gid_612082435[[#This Row],[Valor]],Listas!A:B,2,FALSE)</f>
        <v>Asistencia</v>
      </c>
    </row>
    <row r="567" spans="1:8" hidden="1" x14ac:dyDescent="0.3">
      <c r="A567" t="s">
        <v>72</v>
      </c>
      <c r="B567" t="s">
        <v>88</v>
      </c>
      <c r="C567" t="s">
        <v>146</v>
      </c>
      <c r="D567" s="19">
        <v>46150</v>
      </c>
      <c r="E567" t="s">
        <v>76</v>
      </c>
      <c r="F567">
        <f>+_xlfn.ISOWEEKNUM(export?format_csv_gid_612082435[[#This Row],[Fecha]])</f>
        <v>19</v>
      </c>
      <c r="G567">
        <f>+YEAR(export?format_csv_gid_612082435[[#This Row],[Fecha]])</f>
        <v>2026</v>
      </c>
      <c r="H567" t="str">
        <f>+VLOOKUP(export?format_csv_gid_612082435[[#This Row],[Valor]],Listas!A:B,2,FALSE)</f>
        <v>Asistencia</v>
      </c>
    </row>
    <row r="568" spans="1:8" hidden="1" x14ac:dyDescent="0.3">
      <c r="A568" t="s">
        <v>72</v>
      </c>
      <c r="B568" t="s">
        <v>88</v>
      </c>
      <c r="C568" t="s">
        <v>146</v>
      </c>
      <c r="D568" s="19">
        <v>46151</v>
      </c>
      <c r="E568" t="s">
        <v>76</v>
      </c>
      <c r="F568">
        <f>+_xlfn.ISOWEEKNUM(export?format_csv_gid_612082435[[#This Row],[Fecha]])</f>
        <v>19</v>
      </c>
      <c r="G568">
        <f>+YEAR(export?format_csv_gid_612082435[[#This Row],[Fecha]])</f>
        <v>2026</v>
      </c>
      <c r="H568" t="str">
        <f>+VLOOKUP(export?format_csv_gid_612082435[[#This Row],[Valor]],Listas!A:B,2,FALSE)</f>
        <v>Asistencia</v>
      </c>
    </row>
    <row r="569" spans="1:8" hidden="1" x14ac:dyDescent="0.3">
      <c r="A569" t="s">
        <v>72</v>
      </c>
      <c r="B569" t="s">
        <v>88</v>
      </c>
      <c r="C569" t="s">
        <v>146</v>
      </c>
      <c r="D569" s="19">
        <v>46152</v>
      </c>
      <c r="E569" t="s">
        <v>113</v>
      </c>
      <c r="F569">
        <f>+_xlfn.ISOWEEKNUM(export?format_csv_gid_612082435[[#This Row],[Fecha]])</f>
        <v>19</v>
      </c>
      <c r="G569">
        <f>+YEAR(export?format_csv_gid_612082435[[#This Row],[Fecha]])</f>
        <v>2026</v>
      </c>
      <c r="H569" t="str">
        <f>+VLOOKUP(export?format_csv_gid_612082435[[#This Row],[Valor]],Listas!A:B,2,FALSE)</f>
        <v>D. Remunerado</v>
      </c>
    </row>
    <row r="570" spans="1:8" hidden="1" x14ac:dyDescent="0.3">
      <c r="A570" t="s">
        <v>72</v>
      </c>
      <c r="B570" t="s">
        <v>88</v>
      </c>
      <c r="C570" t="s">
        <v>146</v>
      </c>
      <c r="D570" s="19">
        <v>46153</v>
      </c>
      <c r="E570" t="s">
        <v>76</v>
      </c>
      <c r="F570">
        <f>+_xlfn.ISOWEEKNUM(export?format_csv_gid_612082435[[#This Row],[Fecha]])</f>
        <v>20</v>
      </c>
      <c r="G570">
        <f>+YEAR(export?format_csv_gid_612082435[[#This Row],[Fecha]])</f>
        <v>2026</v>
      </c>
      <c r="H570" t="str">
        <f>+VLOOKUP(export?format_csv_gid_612082435[[#This Row],[Valor]],Listas!A:B,2,FALSE)</f>
        <v>Asistencia</v>
      </c>
    </row>
    <row r="571" spans="1:8" hidden="1" x14ac:dyDescent="0.3">
      <c r="A571" t="s">
        <v>72</v>
      </c>
      <c r="B571" t="s">
        <v>88</v>
      </c>
      <c r="C571" t="s">
        <v>146</v>
      </c>
      <c r="D571" s="19">
        <v>46154</v>
      </c>
      <c r="E571" t="s">
        <v>76</v>
      </c>
      <c r="F571">
        <f>+_xlfn.ISOWEEKNUM(export?format_csv_gid_612082435[[#This Row],[Fecha]])</f>
        <v>20</v>
      </c>
      <c r="G571">
        <f>+YEAR(export?format_csv_gid_612082435[[#This Row],[Fecha]])</f>
        <v>2026</v>
      </c>
      <c r="H571" t="str">
        <f>+VLOOKUP(export?format_csv_gid_612082435[[#This Row],[Valor]],Listas!A:B,2,FALSE)</f>
        <v>Asistencia</v>
      </c>
    </row>
    <row r="572" spans="1:8" hidden="1" x14ac:dyDescent="0.3">
      <c r="A572" t="s">
        <v>72</v>
      </c>
      <c r="B572" t="s">
        <v>88</v>
      </c>
      <c r="C572" t="s">
        <v>146</v>
      </c>
      <c r="D572" s="19">
        <v>46155</v>
      </c>
      <c r="E572" t="s">
        <v>76</v>
      </c>
      <c r="F572">
        <f>+_xlfn.ISOWEEKNUM(export?format_csv_gid_612082435[[#This Row],[Fecha]])</f>
        <v>20</v>
      </c>
      <c r="G572">
        <f>+YEAR(export?format_csv_gid_612082435[[#This Row],[Fecha]])</f>
        <v>2026</v>
      </c>
      <c r="H572" t="str">
        <f>+VLOOKUP(export?format_csv_gid_612082435[[#This Row],[Valor]],Listas!A:B,2,FALSE)</f>
        <v>Asistencia</v>
      </c>
    </row>
    <row r="573" spans="1:8" hidden="1" x14ac:dyDescent="0.3">
      <c r="A573" t="s">
        <v>72</v>
      </c>
      <c r="B573" t="s">
        <v>88</v>
      </c>
      <c r="C573" t="s">
        <v>146</v>
      </c>
      <c r="D573" s="19">
        <v>46156</v>
      </c>
      <c r="E573" t="s">
        <v>76</v>
      </c>
      <c r="F573">
        <f>+_xlfn.ISOWEEKNUM(export?format_csv_gid_612082435[[#This Row],[Fecha]])</f>
        <v>20</v>
      </c>
      <c r="G573">
        <f>+YEAR(export?format_csv_gid_612082435[[#This Row],[Fecha]])</f>
        <v>2026</v>
      </c>
      <c r="H573" t="str">
        <f>+VLOOKUP(export?format_csv_gid_612082435[[#This Row],[Valor]],Listas!A:B,2,FALSE)</f>
        <v>Asistencia</v>
      </c>
    </row>
    <row r="574" spans="1:8" hidden="1" x14ac:dyDescent="0.3">
      <c r="A574" t="s">
        <v>72</v>
      </c>
      <c r="B574" t="s">
        <v>88</v>
      </c>
      <c r="C574" t="s">
        <v>146</v>
      </c>
      <c r="D574" s="19">
        <v>46157</v>
      </c>
      <c r="E574" t="s">
        <v>76</v>
      </c>
      <c r="F574">
        <f>+_xlfn.ISOWEEKNUM(export?format_csv_gid_612082435[[#This Row],[Fecha]])</f>
        <v>20</v>
      </c>
      <c r="G574">
        <f>+YEAR(export?format_csv_gid_612082435[[#This Row],[Fecha]])</f>
        <v>2026</v>
      </c>
      <c r="H574" t="str">
        <f>+VLOOKUP(export?format_csv_gid_612082435[[#This Row],[Valor]],Listas!A:B,2,FALSE)</f>
        <v>Asistencia</v>
      </c>
    </row>
    <row r="575" spans="1:8" hidden="1" x14ac:dyDescent="0.3">
      <c r="A575" t="s">
        <v>72</v>
      </c>
      <c r="B575" t="s">
        <v>88</v>
      </c>
      <c r="C575" t="s">
        <v>146</v>
      </c>
      <c r="D575" s="19">
        <v>46158</v>
      </c>
      <c r="E575" t="s">
        <v>77</v>
      </c>
      <c r="F575">
        <f>+_xlfn.ISOWEEKNUM(export?format_csv_gid_612082435[[#This Row],[Fecha]])</f>
        <v>20</v>
      </c>
      <c r="G575">
        <f>+YEAR(export?format_csv_gid_612082435[[#This Row],[Fecha]])</f>
        <v>2026</v>
      </c>
      <c r="H575" t="e">
        <f>+VLOOKUP(export?format_csv_gid_612082435[[#This Row],[Valor]],Listas!A:B,2,FALSE)</f>
        <v>#N/A</v>
      </c>
    </row>
    <row r="576" spans="1:8" hidden="1" x14ac:dyDescent="0.3">
      <c r="A576" t="s">
        <v>72</v>
      </c>
      <c r="B576" t="s">
        <v>88</v>
      </c>
      <c r="C576" t="s">
        <v>146</v>
      </c>
      <c r="D576" s="19">
        <v>46159</v>
      </c>
      <c r="E576" t="s">
        <v>77</v>
      </c>
      <c r="F576">
        <f>+_xlfn.ISOWEEKNUM(export?format_csv_gid_612082435[[#This Row],[Fecha]])</f>
        <v>20</v>
      </c>
      <c r="G576">
        <f>+YEAR(export?format_csv_gid_612082435[[#This Row],[Fecha]])</f>
        <v>2026</v>
      </c>
      <c r="H576" t="e">
        <f>+VLOOKUP(export?format_csv_gid_612082435[[#This Row],[Valor]],Listas!A:B,2,FALSE)</f>
        <v>#N/A</v>
      </c>
    </row>
    <row r="577" spans="1:8" hidden="1" x14ac:dyDescent="0.3">
      <c r="A577" t="s">
        <v>72</v>
      </c>
      <c r="B577" t="s">
        <v>88</v>
      </c>
      <c r="C577" t="s">
        <v>146</v>
      </c>
      <c r="D577" s="19">
        <v>46160</v>
      </c>
      <c r="E577" t="s">
        <v>77</v>
      </c>
      <c r="F577">
        <f>+_xlfn.ISOWEEKNUM(export?format_csv_gid_612082435[[#This Row],[Fecha]])</f>
        <v>21</v>
      </c>
      <c r="G577">
        <f>+YEAR(export?format_csv_gid_612082435[[#This Row],[Fecha]])</f>
        <v>2026</v>
      </c>
      <c r="H577" t="e">
        <f>+VLOOKUP(export?format_csv_gid_612082435[[#This Row],[Valor]],Listas!A:B,2,FALSE)</f>
        <v>#N/A</v>
      </c>
    </row>
    <row r="578" spans="1:8" hidden="1" x14ac:dyDescent="0.3">
      <c r="A578" t="s">
        <v>72</v>
      </c>
      <c r="B578" t="s">
        <v>88</v>
      </c>
      <c r="C578" t="s">
        <v>146</v>
      </c>
      <c r="D578" s="19">
        <v>46161</v>
      </c>
      <c r="E578" t="s">
        <v>77</v>
      </c>
      <c r="F578">
        <f>+_xlfn.ISOWEEKNUM(export?format_csv_gid_612082435[[#This Row],[Fecha]])</f>
        <v>21</v>
      </c>
      <c r="G578">
        <f>+YEAR(export?format_csv_gid_612082435[[#This Row],[Fecha]])</f>
        <v>2026</v>
      </c>
      <c r="H578" t="e">
        <f>+VLOOKUP(export?format_csv_gid_612082435[[#This Row],[Valor]],Listas!A:B,2,FALSE)</f>
        <v>#N/A</v>
      </c>
    </row>
    <row r="579" spans="1:8" hidden="1" x14ac:dyDescent="0.3">
      <c r="A579" t="s">
        <v>72</v>
      </c>
      <c r="B579" t="s">
        <v>88</v>
      </c>
      <c r="C579" t="s">
        <v>146</v>
      </c>
      <c r="D579" s="19">
        <v>46162</v>
      </c>
      <c r="E579" t="s">
        <v>77</v>
      </c>
      <c r="F579">
        <f>+_xlfn.ISOWEEKNUM(export?format_csv_gid_612082435[[#This Row],[Fecha]])</f>
        <v>21</v>
      </c>
      <c r="G579">
        <f>+YEAR(export?format_csv_gid_612082435[[#This Row],[Fecha]])</f>
        <v>2026</v>
      </c>
      <c r="H579" t="e">
        <f>+VLOOKUP(export?format_csv_gid_612082435[[#This Row],[Valor]],Listas!A:B,2,FALSE)</f>
        <v>#N/A</v>
      </c>
    </row>
    <row r="580" spans="1:8" hidden="1" x14ac:dyDescent="0.3">
      <c r="A580" t="s">
        <v>72</v>
      </c>
      <c r="B580" t="s">
        <v>88</v>
      </c>
      <c r="C580" t="s">
        <v>146</v>
      </c>
      <c r="D580" s="19">
        <v>46163</v>
      </c>
      <c r="E580" t="s">
        <v>77</v>
      </c>
      <c r="F580">
        <f>+_xlfn.ISOWEEKNUM(export?format_csv_gid_612082435[[#This Row],[Fecha]])</f>
        <v>21</v>
      </c>
      <c r="G580">
        <f>+YEAR(export?format_csv_gid_612082435[[#This Row],[Fecha]])</f>
        <v>2026</v>
      </c>
      <c r="H580" t="e">
        <f>+VLOOKUP(export?format_csv_gid_612082435[[#This Row],[Valor]],Listas!A:B,2,FALSE)</f>
        <v>#N/A</v>
      </c>
    </row>
    <row r="581" spans="1:8" hidden="1" x14ac:dyDescent="0.3">
      <c r="A581" t="s">
        <v>72</v>
      </c>
      <c r="B581" t="s">
        <v>88</v>
      </c>
      <c r="C581" t="s">
        <v>146</v>
      </c>
      <c r="D581" s="19">
        <v>46164</v>
      </c>
      <c r="E581" t="s">
        <v>77</v>
      </c>
      <c r="F581">
        <f>+_xlfn.ISOWEEKNUM(export?format_csv_gid_612082435[[#This Row],[Fecha]])</f>
        <v>21</v>
      </c>
      <c r="G581">
        <f>+YEAR(export?format_csv_gid_612082435[[#This Row],[Fecha]])</f>
        <v>2026</v>
      </c>
      <c r="H581" t="e">
        <f>+VLOOKUP(export?format_csv_gid_612082435[[#This Row],[Valor]],Listas!A:B,2,FALSE)</f>
        <v>#N/A</v>
      </c>
    </row>
    <row r="582" spans="1:8" hidden="1" x14ac:dyDescent="0.3">
      <c r="A582" t="s">
        <v>72</v>
      </c>
      <c r="B582" t="s">
        <v>88</v>
      </c>
      <c r="C582" t="s">
        <v>146</v>
      </c>
      <c r="D582" s="19">
        <v>46165</v>
      </c>
      <c r="E582" t="s">
        <v>77</v>
      </c>
      <c r="F582">
        <f>+_xlfn.ISOWEEKNUM(export?format_csv_gid_612082435[[#This Row],[Fecha]])</f>
        <v>21</v>
      </c>
      <c r="G582">
        <f>+YEAR(export?format_csv_gid_612082435[[#This Row],[Fecha]])</f>
        <v>2026</v>
      </c>
      <c r="H582" t="e">
        <f>+VLOOKUP(export?format_csv_gid_612082435[[#This Row],[Valor]],Listas!A:B,2,FALSE)</f>
        <v>#N/A</v>
      </c>
    </row>
    <row r="583" spans="1:8" hidden="1" x14ac:dyDescent="0.3">
      <c r="A583" t="s">
        <v>72</v>
      </c>
      <c r="B583" t="s">
        <v>88</v>
      </c>
      <c r="C583" t="s">
        <v>146</v>
      </c>
      <c r="D583" s="19">
        <v>46166</v>
      </c>
      <c r="E583" t="s">
        <v>77</v>
      </c>
      <c r="F583">
        <f>+_xlfn.ISOWEEKNUM(export?format_csv_gid_612082435[[#This Row],[Fecha]])</f>
        <v>21</v>
      </c>
      <c r="G583">
        <f>+YEAR(export?format_csv_gid_612082435[[#This Row],[Fecha]])</f>
        <v>2026</v>
      </c>
      <c r="H583" t="e">
        <f>+VLOOKUP(export?format_csv_gid_612082435[[#This Row],[Valor]],Listas!A:B,2,FALSE)</f>
        <v>#N/A</v>
      </c>
    </row>
    <row r="584" spans="1:8" hidden="1" x14ac:dyDescent="0.3">
      <c r="A584" t="s">
        <v>72</v>
      </c>
      <c r="B584" t="s">
        <v>88</v>
      </c>
      <c r="C584" t="s">
        <v>146</v>
      </c>
      <c r="D584" s="19">
        <v>46167</v>
      </c>
      <c r="E584" t="s">
        <v>77</v>
      </c>
      <c r="F584">
        <f>+_xlfn.ISOWEEKNUM(export?format_csv_gid_612082435[[#This Row],[Fecha]])</f>
        <v>22</v>
      </c>
      <c r="G584">
        <f>+YEAR(export?format_csv_gid_612082435[[#This Row],[Fecha]])</f>
        <v>2026</v>
      </c>
      <c r="H584" t="e">
        <f>+VLOOKUP(export?format_csv_gid_612082435[[#This Row],[Valor]],Listas!A:B,2,FALSE)</f>
        <v>#N/A</v>
      </c>
    </row>
    <row r="585" spans="1:8" hidden="1" x14ac:dyDescent="0.3">
      <c r="A585" t="s">
        <v>72</v>
      </c>
      <c r="B585" t="s">
        <v>88</v>
      </c>
      <c r="C585" t="s">
        <v>146</v>
      </c>
      <c r="D585" s="19">
        <v>46168</v>
      </c>
      <c r="E585" t="s">
        <v>77</v>
      </c>
      <c r="F585">
        <f>+_xlfn.ISOWEEKNUM(export?format_csv_gid_612082435[[#This Row],[Fecha]])</f>
        <v>22</v>
      </c>
      <c r="G585">
        <f>+YEAR(export?format_csv_gid_612082435[[#This Row],[Fecha]])</f>
        <v>2026</v>
      </c>
      <c r="H585" t="e">
        <f>+VLOOKUP(export?format_csv_gid_612082435[[#This Row],[Valor]],Listas!A:B,2,FALSE)</f>
        <v>#N/A</v>
      </c>
    </row>
    <row r="586" spans="1:8" hidden="1" x14ac:dyDescent="0.3">
      <c r="A586" t="s">
        <v>72</v>
      </c>
      <c r="B586" t="s">
        <v>88</v>
      </c>
      <c r="C586" t="s">
        <v>146</v>
      </c>
      <c r="D586" s="19">
        <v>46169</v>
      </c>
      <c r="E586" t="s">
        <v>77</v>
      </c>
      <c r="F586">
        <f>+_xlfn.ISOWEEKNUM(export?format_csv_gid_612082435[[#This Row],[Fecha]])</f>
        <v>22</v>
      </c>
      <c r="G586">
        <f>+YEAR(export?format_csv_gid_612082435[[#This Row],[Fecha]])</f>
        <v>2026</v>
      </c>
      <c r="H586" t="e">
        <f>+VLOOKUP(export?format_csv_gid_612082435[[#This Row],[Valor]],Listas!A:B,2,FALSE)</f>
        <v>#N/A</v>
      </c>
    </row>
    <row r="587" spans="1:8" hidden="1" x14ac:dyDescent="0.3">
      <c r="A587" t="s">
        <v>72</v>
      </c>
      <c r="B587" t="s">
        <v>88</v>
      </c>
      <c r="C587" t="s">
        <v>146</v>
      </c>
      <c r="D587" s="19">
        <v>46170</v>
      </c>
      <c r="E587" t="s">
        <v>77</v>
      </c>
      <c r="F587">
        <f>+_xlfn.ISOWEEKNUM(export?format_csv_gid_612082435[[#This Row],[Fecha]])</f>
        <v>22</v>
      </c>
      <c r="G587">
        <f>+YEAR(export?format_csv_gid_612082435[[#This Row],[Fecha]])</f>
        <v>2026</v>
      </c>
      <c r="H587" t="e">
        <f>+VLOOKUP(export?format_csv_gid_612082435[[#This Row],[Valor]],Listas!A:B,2,FALSE)</f>
        <v>#N/A</v>
      </c>
    </row>
    <row r="588" spans="1:8" hidden="1" x14ac:dyDescent="0.3">
      <c r="A588" t="s">
        <v>72</v>
      </c>
      <c r="B588" t="s">
        <v>88</v>
      </c>
      <c r="C588" t="s">
        <v>146</v>
      </c>
      <c r="D588" s="19">
        <v>46171</v>
      </c>
      <c r="E588" t="s">
        <v>77</v>
      </c>
      <c r="F588">
        <f>+_xlfn.ISOWEEKNUM(export?format_csv_gid_612082435[[#This Row],[Fecha]])</f>
        <v>22</v>
      </c>
      <c r="G588">
        <f>+YEAR(export?format_csv_gid_612082435[[#This Row],[Fecha]])</f>
        <v>2026</v>
      </c>
      <c r="H588" t="e">
        <f>+VLOOKUP(export?format_csv_gid_612082435[[#This Row],[Valor]],Listas!A:B,2,FALSE)</f>
        <v>#N/A</v>
      </c>
    </row>
    <row r="589" spans="1:8" hidden="1" x14ac:dyDescent="0.3">
      <c r="A589" t="s">
        <v>72</v>
      </c>
      <c r="B589" t="s">
        <v>88</v>
      </c>
      <c r="C589" t="s">
        <v>146</v>
      </c>
      <c r="D589" s="19">
        <v>46172</v>
      </c>
      <c r="E589" t="s">
        <v>77</v>
      </c>
      <c r="F589">
        <f>+_xlfn.ISOWEEKNUM(export?format_csv_gid_612082435[[#This Row],[Fecha]])</f>
        <v>22</v>
      </c>
      <c r="G589">
        <f>+YEAR(export?format_csv_gid_612082435[[#This Row],[Fecha]])</f>
        <v>2026</v>
      </c>
      <c r="H589" t="e">
        <f>+VLOOKUP(export?format_csv_gid_612082435[[#This Row],[Valor]],Listas!A:B,2,FALSE)</f>
        <v>#N/A</v>
      </c>
    </row>
    <row r="590" spans="1:8" hidden="1" x14ac:dyDescent="0.3">
      <c r="A590" t="s">
        <v>72</v>
      </c>
      <c r="B590" t="s">
        <v>88</v>
      </c>
      <c r="C590" t="s">
        <v>146</v>
      </c>
      <c r="D590" s="19">
        <v>46173</v>
      </c>
      <c r="E590" t="s">
        <v>77</v>
      </c>
      <c r="F590">
        <f>+_xlfn.ISOWEEKNUM(export?format_csv_gid_612082435[[#This Row],[Fecha]])</f>
        <v>22</v>
      </c>
      <c r="G590">
        <f>+YEAR(export?format_csv_gid_612082435[[#This Row],[Fecha]])</f>
        <v>2026</v>
      </c>
      <c r="H590" t="e">
        <f>+VLOOKUP(export?format_csv_gid_612082435[[#This Row],[Valor]],Listas!A:B,2,FALSE)</f>
        <v>#N/A</v>
      </c>
    </row>
    <row r="591" spans="1:8" hidden="1" x14ac:dyDescent="0.3">
      <c r="A591" t="s">
        <v>72</v>
      </c>
      <c r="B591" t="s">
        <v>88</v>
      </c>
      <c r="C591" t="s">
        <v>154</v>
      </c>
      <c r="D591" s="19">
        <v>46143</v>
      </c>
      <c r="E591" t="s">
        <v>92</v>
      </c>
      <c r="F591">
        <f>+_xlfn.ISOWEEKNUM(export?format_csv_gid_612082435[[#This Row],[Fecha]])</f>
        <v>18</v>
      </c>
      <c r="G591">
        <f>+YEAR(export?format_csv_gid_612082435[[#This Row],[Fecha]])</f>
        <v>2026</v>
      </c>
      <c r="H591" t="str">
        <f>+VLOOKUP(export?format_csv_gid_612082435[[#This Row],[Valor]],Listas!A:B,2,FALSE)</f>
        <v>No Remunerado</v>
      </c>
    </row>
    <row r="592" spans="1:8" hidden="1" x14ac:dyDescent="0.3">
      <c r="A592" t="s">
        <v>72</v>
      </c>
      <c r="B592" t="s">
        <v>88</v>
      </c>
      <c r="C592" t="s">
        <v>154</v>
      </c>
      <c r="D592" s="19">
        <v>46144</v>
      </c>
      <c r="E592" t="s">
        <v>92</v>
      </c>
      <c r="F592">
        <f>+_xlfn.ISOWEEKNUM(export?format_csv_gid_612082435[[#This Row],[Fecha]])</f>
        <v>18</v>
      </c>
      <c r="G592">
        <f>+YEAR(export?format_csv_gid_612082435[[#This Row],[Fecha]])</f>
        <v>2026</v>
      </c>
      <c r="H592" t="str">
        <f>+VLOOKUP(export?format_csv_gid_612082435[[#This Row],[Valor]],Listas!A:B,2,FALSE)</f>
        <v>No Remunerado</v>
      </c>
    </row>
    <row r="593" spans="1:8" hidden="1" x14ac:dyDescent="0.3">
      <c r="A593" t="s">
        <v>72</v>
      </c>
      <c r="B593" t="s">
        <v>88</v>
      </c>
      <c r="C593" t="s">
        <v>154</v>
      </c>
      <c r="D593" s="19">
        <v>46145</v>
      </c>
      <c r="E593" t="s">
        <v>92</v>
      </c>
      <c r="F593">
        <f>+_xlfn.ISOWEEKNUM(export?format_csv_gid_612082435[[#This Row],[Fecha]])</f>
        <v>18</v>
      </c>
      <c r="G593">
        <f>+YEAR(export?format_csv_gid_612082435[[#This Row],[Fecha]])</f>
        <v>2026</v>
      </c>
      <c r="H593" t="str">
        <f>+VLOOKUP(export?format_csv_gid_612082435[[#This Row],[Valor]],Listas!A:B,2,FALSE)</f>
        <v>No Remunerado</v>
      </c>
    </row>
    <row r="594" spans="1:8" hidden="1" x14ac:dyDescent="0.3">
      <c r="A594" t="s">
        <v>72</v>
      </c>
      <c r="B594" t="s">
        <v>88</v>
      </c>
      <c r="C594" t="s">
        <v>154</v>
      </c>
      <c r="D594" s="19">
        <v>46146</v>
      </c>
      <c r="E594" t="s">
        <v>76</v>
      </c>
      <c r="F594">
        <f>+_xlfn.ISOWEEKNUM(export?format_csv_gid_612082435[[#This Row],[Fecha]])</f>
        <v>19</v>
      </c>
      <c r="G594">
        <f>+YEAR(export?format_csv_gid_612082435[[#This Row],[Fecha]])</f>
        <v>2026</v>
      </c>
      <c r="H594" t="str">
        <f>+VLOOKUP(export?format_csv_gid_612082435[[#This Row],[Valor]],Listas!A:B,2,FALSE)</f>
        <v>Asistencia</v>
      </c>
    </row>
    <row r="595" spans="1:8" hidden="1" x14ac:dyDescent="0.3">
      <c r="A595" t="s">
        <v>72</v>
      </c>
      <c r="B595" t="s">
        <v>88</v>
      </c>
      <c r="C595" t="s">
        <v>154</v>
      </c>
      <c r="D595" s="19">
        <v>46147</v>
      </c>
      <c r="E595" t="s">
        <v>76</v>
      </c>
      <c r="F595">
        <f>+_xlfn.ISOWEEKNUM(export?format_csv_gid_612082435[[#This Row],[Fecha]])</f>
        <v>19</v>
      </c>
      <c r="G595">
        <f>+YEAR(export?format_csv_gid_612082435[[#This Row],[Fecha]])</f>
        <v>2026</v>
      </c>
      <c r="H595" t="str">
        <f>+VLOOKUP(export?format_csv_gid_612082435[[#This Row],[Valor]],Listas!A:B,2,FALSE)</f>
        <v>Asistencia</v>
      </c>
    </row>
    <row r="596" spans="1:8" hidden="1" x14ac:dyDescent="0.3">
      <c r="A596" t="s">
        <v>72</v>
      </c>
      <c r="B596" t="s">
        <v>88</v>
      </c>
      <c r="C596" t="s">
        <v>154</v>
      </c>
      <c r="D596" s="19">
        <v>46148</v>
      </c>
      <c r="E596" t="s">
        <v>76</v>
      </c>
      <c r="F596">
        <f>+_xlfn.ISOWEEKNUM(export?format_csv_gid_612082435[[#This Row],[Fecha]])</f>
        <v>19</v>
      </c>
      <c r="G596">
        <f>+YEAR(export?format_csv_gid_612082435[[#This Row],[Fecha]])</f>
        <v>2026</v>
      </c>
      <c r="H596" t="str">
        <f>+VLOOKUP(export?format_csv_gid_612082435[[#This Row],[Valor]],Listas!A:B,2,FALSE)</f>
        <v>Asistencia</v>
      </c>
    </row>
    <row r="597" spans="1:8" hidden="1" x14ac:dyDescent="0.3">
      <c r="A597" t="s">
        <v>72</v>
      </c>
      <c r="B597" t="s">
        <v>88</v>
      </c>
      <c r="C597" t="s">
        <v>154</v>
      </c>
      <c r="D597" s="19">
        <v>46149</v>
      </c>
      <c r="E597" t="s">
        <v>76</v>
      </c>
      <c r="F597">
        <f>+_xlfn.ISOWEEKNUM(export?format_csv_gid_612082435[[#This Row],[Fecha]])</f>
        <v>19</v>
      </c>
      <c r="G597">
        <f>+YEAR(export?format_csv_gid_612082435[[#This Row],[Fecha]])</f>
        <v>2026</v>
      </c>
      <c r="H597" t="str">
        <f>+VLOOKUP(export?format_csv_gid_612082435[[#This Row],[Valor]],Listas!A:B,2,FALSE)</f>
        <v>Asistencia</v>
      </c>
    </row>
    <row r="598" spans="1:8" hidden="1" x14ac:dyDescent="0.3">
      <c r="A598" t="s">
        <v>72</v>
      </c>
      <c r="B598" t="s">
        <v>88</v>
      </c>
      <c r="C598" t="s">
        <v>154</v>
      </c>
      <c r="D598" s="19">
        <v>46150</v>
      </c>
      <c r="E598" t="s">
        <v>76</v>
      </c>
      <c r="F598">
        <f>+_xlfn.ISOWEEKNUM(export?format_csv_gid_612082435[[#This Row],[Fecha]])</f>
        <v>19</v>
      </c>
      <c r="G598">
        <f>+YEAR(export?format_csv_gid_612082435[[#This Row],[Fecha]])</f>
        <v>2026</v>
      </c>
      <c r="H598" t="str">
        <f>+VLOOKUP(export?format_csv_gid_612082435[[#This Row],[Valor]],Listas!A:B,2,FALSE)</f>
        <v>Asistencia</v>
      </c>
    </row>
    <row r="599" spans="1:8" hidden="1" x14ac:dyDescent="0.3">
      <c r="A599" t="s">
        <v>72</v>
      </c>
      <c r="B599" t="s">
        <v>88</v>
      </c>
      <c r="C599" t="s">
        <v>154</v>
      </c>
      <c r="D599" s="19">
        <v>46151</v>
      </c>
      <c r="E599" t="s">
        <v>76</v>
      </c>
      <c r="F599">
        <f>+_xlfn.ISOWEEKNUM(export?format_csv_gid_612082435[[#This Row],[Fecha]])</f>
        <v>19</v>
      </c>
      <c r="G599">
        <f>+YEAR(export?format_csv_gid_612082435[[#This Row],[Fecha]])</f>
        <v>2026</v>
      </c>
      <c r="H599" t="str">
        <f>+VLOOKUP(export?format_csv_gid_612082435[[#This Row],[Valor]],Listas!A:B,2,FALSE)</f>
        <v>Asistencia</v>
      </c>
    </row>
    <row r="600" spans="1:8" hidden="1" x14ac:dyDescent="0.3">
      <c r="A600" t="s">
        <v>72</v>
      </c>
      <c r="B600" t="s">
        <v>88</v>
      </c>
      <c r="C600" t="s">
        <v>154</v>
      </c>
      <c r="D600" s="19">
        <v>46152</v>
      </c>
      <c r="E600" t="s">
        <v>113</v>
      </c>
      <c r="F600">
        <f>+_xlfn.ISOWEEKNUM(export?format_csv_gid_612082435[[#This Row],[Fecha]])</f>
        <v>19</v>
      </c>
      <c r="G600">
        <f>+YEAR(export?format_csv_gid_612082435[[#This Row],[Fecha]])</f>
        <v>2026</v>
      </c>
      <c r="H600" t="str">
        <f>+VLOOKUP(export?format_csv_gid_612082435[[#This Row],[Valor]],Listas!A:B,2,FALSE)</f>
        <v>D. Remunerado</v>
      </c>
    </row>
    <row r="601" spans="1:8" hidden="1" x14ac:dyDescent="0.3">
      <c r="A601" t="s">
        <v>72</v>
      </c>
      <c r="B601" t="s">
        <v>88</v>
      </c>
      <c r="C601" t="s">
        <v>154</v>
      </c>
      <c r="D601" s="19">
        <v>46153</v>
      </c>
      <c r="E601" t="s">
        <v>76</v>
      </c>
      <c r="F601">
        <f>+_xlfn.ISOWEEKNUM(export?format_csv_gid_612082435[[#This Row],[Fecha]])</f>
        <v>20</v>
      </c>
      <c r="G601">
        <f>+YEAR(export?format_csv_gid_612082435[[#This Row],[Fecha]])</f>
        <v>2026</v>
      </c>
      <c r="H601" t="str">
        <f>+VLOOKUP(export?format_csv_gid_612082435[[#This Row],[Valor]],Listas!A:B,2,FALSE)</f>
        <v>Asistencia</v>
      </c>
    </row>
    <row r="602" spans="1:8" hidden="1" x14ac:dyDescent="0.3">
      <c r="A602" t="s">
        <v>72</v>
      </c>
      <c r="B602" t="s">
        <v>88</v>
      </c>
      <c r="C602" t="s">
        <v>154</v>
      </c>
      <c r="D602" s="19">
        <v>46154</v>
      </c>
      <c r="E602" t="s">
        <v>76</v>
      </c>
      <c r="F602">
        <f>+_xlfn.ISOWEEKNUM(export?format_csv_gid_612082435[[#This Row],[Fecha]])</f>
        <v>20</v>
      </c>
      <c r="G602">
        <f>+YEAR(export?format_csv_gid_612082435[[#This Row],[Fecha]])</f>
        <v>2026</v>
      </c>
      <c r="H602" t="str">
        <f>+VLOOKUP(export?format_csv_gid_612082435[[#This Row],[Valor]],Listas!A:B,2,FALSE)</f>
        <v>Asistencia</v>
      </c>
    </row>
    <row r="603" spans="1:8" hidden="1" x14ac:dyDescent="0.3">
      <c r="A603" t="s">
        <v>72</v>
      </c>
      <c r="B603" t="s">
        <v>88</v>
      </c>
      <c r="C603" t="s">
        <v>154</v>
      </c>
      <c r="D603" s="19">
        <v>46155</v>
      </c>
      <c r="E603" t="s">
        <v>76</v>
      </c>
      <c r="F603">
        <f>+_xlfn.ISOWEEKNUM(export?format_csv_gid_612082435[[#This Row],[Fecha]])</f>
        <v>20</v>
      </c>
      <c r="G603">
        <f>+YEAR(export?format_csv_gid_612082435[[#This Row],[Fecha]])</f>
        <v>2026</v>
      </c>
      <c r="H603" t="str">
        <f>+VLOOKUP(export?format_csv_gid_612082435[[#This Row],[Valor]],Listas!A:B,2,FALSE)</f>
        <v>Asistencia</v>
      </c>
    </row>
    <row r="604" spans="1:8" hidden="1" x14ac:dyDescent="0.3">
      <c r="A604" t="s">
        <v>72</v>
      </c>
      <c r="B604" t="s">
        <v>88</v>
      </c>
      <c r="C604" t="s">
        <v>154</v>
      </c>
      <c r="D604" s="19">
        <v>46156</v>
      </c>
      <c r="E604" t="s">
        <v>76</v>
      </c>
      <c r="F604">
        <f>+_xlfn.ISOWEEKNUM(export?format_csv_gid_612082435[[#This Row],[Fecha]])</f>
        <v>20</v>
      </c>
      <c r="G604">
        <f>+YEAR(export?format_csv_gid_612082435[[#This Row],[Fecha]])</f>
        <v>2026</v>
      </c>
      <c r="H604" t="str">
        <f>+VLOOKUP(export?format_csv_gid_612082435[[#This Row],[Valor]],Listas!A:B,2,FALSE)</f>
        <v>Asistencia</v>
      </c>
    </row>
    <row r="605" spans="1:8" hidden="1" x14ac:dyDescent="0.3">
      <c r="A605" t="s">
        <v>72</v>
      </c>
      <c r="B605" t="s">
        <v>88</v>
      </c>
      <c r="C605" t="s">
        <v>154</v>
      </c>
      <c r="D605" s="19">
        <v>46157</v>
      </c>
      <c r="E605" t="s">
        <v>76</v>
      </c>
      <c r="F605">
        <f>+_xlfn.ISOWEEKNUM(export?format_csv_gid_612082435[[#This Row],[Fecha]])</f>
        <v>20</v>
      </c>
      <c r="G605">
        <f>+YEAR(export?format_csv_gid_612082435[[#This Row],[Fecha]])</f>
        <v>2026</v>
      </c>
      <c r="H605" t="str">
        <f>+VLOOKUP(export?format_csv_gid_612082435[[#This Row],[Valor]],Listas!A:B,2,FALSE)</f>
        <v>Asistencia</v>
      </c>
    </row>
    <row r="606" spans="1:8" hidden="1" x14ac:dyDescent="0.3">
      <c r="A606" t="s">
        <v>72</v>
      </c>
      <c r="B606" t="s">
        <v>88</v>
      </c>
      <c r="C606" t="s">
        <v>154</v>
      </c>
      <c r="D606" s="19">
        <v>46158</v>
      </c>
      <c r="E606" t="s">
        <v>77</v>
      </c>
      <c r="F606">
        <f>+_xlfn.ISOWEEKNUM(export?format_csv_gid_612082435[[#This Row],[Fecha]])</f>
        <v>20</v>
      </c>
      <c r="G606">
        <f>+YEAR(export?format_csv_gid_612082435[[#This Row],[Fecha]])</f>
        <v>2026</v>
      </c>
      <c r="H606" t="e">
        <f>+VLOOKUP(export?format_csv_gid_612082435[[#This Row],[Valor]],Listas!A:B,2,FALSE)</f>
        <v>#N/A</v>
      </c>
    </row>
    <row r="607" spans="1:8" hidden="1" x14ac:dyDescent="0.3">
      <c r="A607" t="s">
        <v>72</v>
      </c>
      <c r="B607" t="s">
        <v>88</v>
      </c>
      <c r="C607" t="s">
        <v>154</v>
      </c>
      <c r="D607" s="19">
        <v>46159</v>
      </c>
      <c r="E607" t="s">
        <v>77</v>
      </c>
      <c r="F607">
        <f>+_xlfn.ISOWEEKNUM(export?format_csv_gid_612082435[[#This Row],[Fecha]])</f>
        <v>20</v>
      </c>
      <c r="G607">
        <f>+YEAR(export?format_csv_gid_612082435[[#This Row],[Fecha]])</f>
        <v>2026</v>
      </c>
      <c r="H607" t="e">
        <f>+VLOOKUP(export?format_csv_gid_612082435[[#This Row],[Valor]],Listas!A:B,2,FALSE)</f>
        <v>#N/A</v>
      </c>
    </row>
    <row r="608" spans="1:8" hidden="1" x14ac:dyDescent="0.3">
      <c r="A608" t="s">
        <v>72</v>
      </c>
      <c r="B608" t="s">
        <v>88</v>
      </c>
      <c r="C608" t="s">
        <v>154</v>
      </c>
      <c r="D608" s="19">
        <v>46160</v>
      </c>
      <c r="E608" t="s">
        <v>77</v>
      </c>
      <c r="F608">
        <f>+_xlfn.ISOWEEKNUM(export?format_csv_gid_612082435[[#This Row],[Fecha]])</f>
        <v>21</v>
      </c>
      <c r="G608">
        <f>+YEAR(export?format_csv_gid_612082435[[#This Row],[Fecha]])</f>
        <v>2026</v>
      </c>
      <c r="H608" t="e">
        <f>+VLOOKUP(export?format_csv_gid_612082435[[#This Row],[Valor]],Listas!A:B,2,FALSE)</f>
        <v>#N/A</v>
      </c>
    </row>
    <row r="609" spans="1:8" hidden="1" x14ac:dyDescent="0.3">
      <c r="A609" t="s">
        <v>72</v>
      </c>
      <c r="B609" t="s">
        <v>88</v>
      </c>
      <c r="C609" t="s">
        <v>154</v>
      </c>
      <c r="D609" s="19">
        <v>46161</v>
      </c>
      <c r="E609" t="s">
        <v>77</v>
      </c>
      <c r="F609">
        <f>+_xlfn.ISOWEEKNUM(export?format_csv_gid_612082435[[#This Row],[Fecha]])</f>
        <v>21</v>
      </c>
      <c r="G609">
        <f>+YEAR(export?format_csv_gid_612082435[[#This Row],[Fecha]])</f>
        <v>2026</v>
      </c>
      <c r="H609" t="e">
        <f>+VLOOKUP(export?format_csv_gid_612082435[[#This Row],[Valor]],Listas!A:B,2,FALSE)</f>
        <v>#N/A</v>
      </c>
    </row>
    <row r="610" spans="1:8" hidden="1" x14ac:dyDescent="0.3">
      <c r="A610" t="s">
        <v>72</v>
      </c>
      <c r="B610" t="s">
        <v>88</v>
      </c>
      <c r="C610" t="s">
        <v>154</v>
      </c>
      <c r="D610" s="19">
        <v>46162</v>
      </c>
      <c r="E610" t="s">
        <v>77</v>
      </c>
      <c r="F610">
        <f>+_xlfn.ISOWEEKNUM(export?format_csv_gid_612082435[[#This Row],[Fecha]])</f>
        <v>21</v>
      </c>
      <c r="G610">
        <f>+YEAR(export?format_csv_gid_612082435[[#This Row],[Fecha]])</f>
        <v>2026</v>
      </c>
      <c r="H610" t="e">
        <f>+VLOOKUP(export?format_csv_gid_612082435[[#This Row],[Valor]],Listas!A:B,2,FALSE)</f>
        <v>#N/A</v>
      </c>
    </row>
    <row r="611" spans="1:8" hidden="1" x14ac:dyDescent="0.3">
      <c r="A611" t="s">
        <v>72</v>
      </c>
      <c r="B611" t="s">
        <v>88</v>
      </c>
      <c r="C611" t="s">
        <v>154</v>
      </c>
      <c r="D611" s="19">
        <v>46163</v>
      </c>
      <c r="E611" t="s">
        <v>77</v>
      </c>
      <c r="F611">
        <f>+_xlfn.ISOWEEKNUM(export?format_csv_gid_612082435[[#This Row],[Fecha]])</f>
        <v>21</v>
      </c>
      <c r="G611">
        <f>+YEAR(export?format_csv_gid_612082435[[#This Row],[Fecha]])</f>
        <v>2026</v>
      </c>
      <c r="H611" t="e">
        <f>+VLOOKUP(export?format_csv_gid_612082435[[#This Row],[Valor]],Listas!A:B,2,FALSE)</f>
        <v>#N/A</v>
      </c>
    </row>
    <row r="612" spans="1:8" hidden="1" x14ac:dyDescent="0.3">
      <c r="A612" t="s">
        <v>72</v>
      </c>
      <c r="B612" t="s">
        <v>88</v>
      </c>
      <c r="C612" t="s">
        <v>154</v>
      </c>
      <c r="D612" s="19">
        <v>46164</v>
      </c>
      <c r="E612" t="s">
        <v>77</v>
      </c>
      <c r="F612">
        <f>+_xlfn.ISOWEEKNUM(export?format_csv_gid_612082435[[#This Row],[Fecha]])</f>
        <v>21</v>
      </c>
      <c r="G612">
        <f>+YEAR(export?format_csv_gid_612082435[[#This Row],[Fecha]])</f>
        <v>2026</v>
      </c>
      <c r="H612" t="e">
        <f>+VLOOKUP(export?format_csv_gid_612082435[[#This Row],[Valor]],Listas!A:B,2,FALSE)</f>
        <v>#N/A</v>
      </c>
    </row>
    <row r="613" spans="1:8" hidden="1" x14ac:dyDescent="0.3">
      <c r="A613" t="s">
        <v>72</v>
      </c>
      <c r="B613" t="s">
        <v>88</v>
      </c>
      <c r="C613" t="s">
        <v>154</v>
      </c>
      <c r="D613" s="19">
        <v>46165</v>
      </c>
      <c r="E613" t="s">
        <v>77</v>
      </c>
      <c r="F613">
        <f>+_xlfn.ISOWEEKNUM(export?format_csv_gid_612082435[[#This Row],[Fecha]])</f>
        <v>21</v>
      </c>
      <c r="G613">
        <f>+YEAR(export?format_csv_gid_612082435[[#This Row],[Fecha]])</f>
        <v>2026</v>
      </c>
      <c r="H613" t="e">
        <f>+VLOOKUP(export?format_csv_gid_612082435[[#This Row],[Valor]],Listas!A:B,2,FALSE)</f>
        <v>#N/A</v>
      </c>
    </row>
    <row r="614" spans="1:8" hidden="1" x14ac:dyDescent="0.3">
      <c r="A614" t="s">
        <v>72</v>
      </c>
      <c r="B614" t="s">
        <v>88</v>
      </c>
      <c r="C614" t="s">
        <v>154</v>
      </c>
      <c r="D614" s="19">
        <v>46166</v>
      </c>
      <c r="E614" t="s">
        <v>77</v>
      </c>
      <c r="F614">
        <f>+_xlfn.ISOWEEKNUM(export?format_csv_gid_612082435[[#This Row],[Fecha]])</f>
        <v>21</v>
      </c>
      <c r="G614">
        <f>+YEAR(export?format_csv_gid_612082435[[#This Row],[Fecha]])</f>
        <v>2026</v>
      </c>
      <c r="H614" t="e">
        <f>+VLOOKUP(export?format_csv_gid_612082435[[#This Row],[Valor]],Listas!A:B,2,FALSE)</f>
        <v>#N/A</v>
      </c>
    </row>
    <row r="615" spans="1:8" hidden="1" x14ac:dyDescent="0.3">
      <c r="A615" t="s">
        <v>72</v>
      </c>
      <c r="B615" t="s">
        <v>88</v>
      </c>
      <c r="C615" t="s">
        <v>154</v>
      </c>
      <c r="D615" s="19">
        <v>46167</v>
      </c>
      <c r="E615" t="s">
        <v>77</v>
      </c>
      <c r="F615">
        <f>+_xlfn.ISOWEEKNUM(export?format_csv_gid_612082435[[#This Row],[Fecha]])</f>
        <v>22</v>
      </c>
      <c r="G615">
        <f>+YEAR(export?format_csv_gid_612082435[[#This Row],[Fecha]])</f>
        <v>2026</v>
      </c>
      <c r="H615" t="e">
        <f>+VLOOKUP(export?format_csv_gid_612082435[[#This Row],[Valor]],Listas!A:B,2,FALSE)</f>
        <v>#N/A</v>
      </c>
    </row>
    <row r="616" spans="1:8" hidden="1" x14ac:dyDescent="0.3">
      <c r="A616" t="s">
        <v>72</v>
      </c>
      <c r="B616" t="s">
        <v>88</v>
      </c>
      <c r="C616" t="s">
        <v>154</v>
      </c>
      <c r="D616" s="19">
        <v>46168</v>
      </c>
      <c r="E616" t="s">
        <v>77</v>
      </c>
      <c r="F616">
        <f>+_xlfn.ISOWEEKNUM(export?format_csv_gid_612082435[[#This Row],[Fecha]])</f>
        <v>22</v>
      </c>
      <c r="G616">
        <f>+YEAR(export?format_csv_gid_612082435[[#This Row],[Fecha]])</f>
        <v>2026</v>
      </c>
      <c r="H616" t="e">
        <f>+VLOOKUP(export?format_csv_gid_612082435[[#This Row],[Valor]],Listas!A:B,2,FALSE)</f>
        <v>#N/A</v>
      </c>
    </row>
    <row r="617" spans="1:8" hidden="1" x14ac:dyDescent="0.3">
      <c r="A617" t="s">
        <v>72</v>
      </c>
      <c r="B617" t="s">
        <v>88</v>
      </c>
      <c r="C617" t="s">
        <v>154</v>
      </c>
      <c r="D617" s="19">
        <v>46169</v>
      </c>
      <c r="E617" t="s">
        <v>77</v>
      </c>
      <c r="F617">
        <f>+_xlfn.ISOWEEKNUM(export?format_csv_gid_612082435[[#This Row],[Fecha]])</f>
        <v>22</v>
      </c>
      <c r="G617">
        <f>+YEAR(export?format_csv_gid_612082435[[#This Row],[Fecha]])</f>
        <v>2026</v>
      </c>
      <c r="H617" t="e">
        <f>+VLOOKUP(export?format_csv_gid_612082435[[#This Row],[Valor]],Listas!A:B,2,FALSE)</f>
        <v>#N/A</v>
      </c>
    </row>
    <row r="618" spans="1:8" hidden="1" x14ac:dyDescent="0.3">
      <c r="A618" t="s">
        <v>72</v>
      </c>
      <c r="B618" t="s">
        <v>88</v>
      </c>
      <c r="C618" t="s">
        <v>154</v>
      </c>
      <c r="D618" s="19">
        <v>46170</v>
      </c>
      <c r="E618" t="s">
        <v>77</v>
      </c>
      <c r="F618">
        <f>+_xlfn.ISOWEEKNUM(export?format_csv_gid_612082435[[#This Row],[Fecha]])</f>
        <v>22</v>
      </c>
      <c r="G618">
        <f>+YEAR(export?format_csv_gid_612082435[[#This Row],[Fecha]])</f>
        <v>2026</v>
      </c>
      <c r="H618" t="e">
        <f>+VLOOKUP(export?format_csv_gid_612082435[[#This Row],[Valor]],Listas!A:B,2,FALSE)</f>
        <v>#N/A</v>
      </c>
    </row>
    <row r="619" spans="1:8" hidden="1" x14ac:dyDescent="0.3">
      <c r="A619" t="s">
        <v>72</v>
      </c>
      <c r="B619" t="s">
        <v>88</v>
      </c>
      <c r="C619" t="s">
        <v>154</v>
      </c>
      <c r="D619" s="19">
        <v>46171</v>
      </c>
      <c r="E619" t="s">
        <v>77</v>
      </c>
      <c r="F619">
        <f>+_xlfn.ISOWEEKNUM(export?format_csv_gid_612082435[[#This Row],[Fecha]])</f>
        <v>22</v>
      </c>
      <c r="G619">
        <f>+YEAR(export?format_csv_gid_612082435[[#This Row],[Fecha]])</f>
        <v>2026</v>
      </c>
      <c r="H619" t="e">
        <f>+VLOOKUP(export?format_csv_gid_612082435[[#This Row],[Valor]],Listas!A:B,2,FALSE)</f>
        <v>#N/A</v>
      </c>
    </row>
    <row r="620" spans="1:8" hidden="1" x14ac:dyDescent="0.3">
      <c r="A620" t="s">
        <v>72</v>
      </c>
      <c r="B620" t="s">
        <v>88</v>
      </c>
      <c r="C620" t="s">
        <v>154</v>
      </c>
      <c r="D620" s="19">
        <v>46172</v>
      </c>
      <c r="E620" t="s">
        <v>77</v>
      </c>
      <c r="F620">
        <f>+_xlfn.ISOWEEKNUM(export?format_csv_gid_612082435[[#This Row],[Fecha]])</f>
        <v>22</v>
      </c>
      <c r="G620">
        <f>+YEAR(export?format_csv_gid_612082435[[#This Row],[Fecha]])</f>
        <v>2026</v>
      </c>
      <c r="H620" t="e">
        <f>+VLOOKUP(export?format_csv_gid_612082435[[#This Row],[Valor]],Listas!A:B,2,FALSE)</f>
        <v>#N/A</v>
      </c>
    </row>
    <row r="621" spans="1:8" hidden="1" x14ac:dyDescent="0.3">
      <c r="A621" t="s">
        <v>72</v>
      </c>
      <c r="B621" t="s">
        <v>88</v>
      </c>
      <c r="C621" t="s">
        <v>154</v>
      </c>
      <c r="D621" s="19">
        <v>46173</v>
      </c>
      <c r="E621" t="s">
        <v>77</v>
      </c>
      <c r="F621">
        <f>+_xlfn.ISOWEEKNUM(export?format_csv_gid_612082435[[#This Row],[Fecha]])</f>
        <v>22</v>
      </c>
      <c r="G621">
        <f>+YEAR(export?format_csv_gid_612082435[[#This Row],[Fecha]])</f>
        <v>2026</v>
      </c>
      <c r="H621" t="e">
        <f>+VLOOKUP(export?format_csv_gid_612082435[[#This Row],[Valor]],Listas!A:B,2,FALSE)</f>
        <v>#N/A</v>
      </c>
    </row>
    <row r="622" spans="1:8" hidden="1" x14ac:dyDescent="0.3">
      <c r="A622" t="s">
        <v>72</v>
      </c>
      <c r="B622" t="s">
        <v>88</v>
      </c>
      <c r="C622" t="s">
        <v>93</v>
      </c>
      <c r="D622" s="19">
        <v>46143</v>
      </c>
      <c r="E622" t="s">
        <v>92</v>
      </c>
      <c r="F622">
        <f>+_xlfn.ISOWEEKNUM(export?format_csv_gid_612082435[[#This Row],[Fecha]])</f>
        <v>18</v>
      </c>
      <c r="G622">
        <f>+YEAR(export?format_csv_gid_612082435[[#This Row],[Fecha]])</f>
        <v>2026</v>
      </c>
      <c r="H622" t="str">
        <f>+VLOOKUP(export?format_csv_gid_612082435[[#This Row],[Valor]],Listas!A:B,2,FALSE)</f>
        <v>No Remunerado</v>
      </c>
    </row>
    <row r="623" spans="1:8" hidden="1" x14ac:dyDescent="0.3">
      <c r="A623" t="s">
        <v>72</v>
      </c>
      <c r="B623" t="s">
        <v>88</v>
      </c>
      <c r="C623" t="s">
        <v>93</v>
      </c>
      <c r="D623" s="19">
        <v>46144</v>
      </c>
      <c r="E623" t="s">
        <v>92</v>
      </c>
      <c r="F623">
        <f>+_xlfn.ISOWEEKNUM(export?format_csv_gid_612082435[[#This Row],[Fecha]])</f>
        <v>18</v>
      </c>
      <c r="G623">
        <f>+YEAR(export?format_csv_gid_612082435[[#This Row],[Fecha]])</f>
        <v>2026</v>
      </c>
      <c r="H623" t="str">
        <f>+VLOOKUP(export?format_csv_gid_612082435[[#This Row],[Valor]],Listas!A:B,2,FALSE)</f>
        <v>No Remunerado</v>
      </c>
    </row>
    <row r="624" spans="1:8" hidden="1" x14ac:dyDescent="0.3">
      <c r="A624" t="s">
        <v>72</v>
      </c>
      <c r="B624" t="s">
        <v>88</v>
      </c>
      <c r="C624" t="s">
        <v>93</v>
      </c>
      <c r="D624" s="19">
        <v>46145</v>
      </c>
      <c r="E624" t="s">
        <v>92</v>
      </c>
      <c r="F624">
        <f>+_xlfn.ISOWEEKNUM(export?format_csv_gid_612082435[[#This Row],[Fecha]])</f>
        <v>18</v>
      </c>
      <c r="G624">
        <f>+YEAR(export?format_csv_gid_612082435[[#This Row],[Fecha]])</f>
        <v>2026</v>
      </c>
      <c r="H624" t="str">
        <f>+VLOOKUP(export?format_csv_gid_612082435[[#This Row],[Valor]],Listas!A:B,2,FALSE)</f>
        <v>No Remunerado</v>
      </c>
    </row>
    <row r="625" spans="1:8" hidden="1" x14ac:dyDescent="0.3">
      <c r="A625" t="s">
        <v>72</v>
      </c>
      <c r="B625" t="s">
        <v>88</v>
      </c>
      <c r="C625" t="s">
        <v>93</v>
      </c>
      <c r="D625" s="19">
        <v>46146</v>
      </c>
      <c r="E625" t="s">
        <v>76</v>
      </c>
      <c r="F625">
        <f>+_xlfn.ISOWEEKNUM(export?format_csv_gid_612082435[[#This Row],[Fecha]])</f>
        <v>19</v>
      </c>
      <c r="G625">
        <f>+YEAR(export?format_csv_gid_612082435[[#This Row],[Fecha]])</f>
        <v>2026</v>
      </c>
      <c r="H625" t="str">
        <f>+VLOOKUP(export?format_csv_gid_612082435[[#This Row],[Valor]],Listas!A:B,2,FALSE)</f>
        <v>Asistencia</v>
      </c>
    </row>
    <row r="626" spans="1:8" hidden="1" x14ac:dyDescent="0.3">
      <c r="A626" t="s">
        <v>72</v>
      </c>
      <c r="B626" t="s">
        <v>88</v>
      </c>
      <c r="C626" t="s">
        <v>93</v>
      </c>
      <c r="D626" s="19">
        <v>46147</v>
      </c>
      <c r="E626" t="s">
        <v>76</v>
      </c>
      <c r="F626">
        <f>+_xlfn.ISOWEEKNUM(export?format_csv_gid_612082435[[#This Row],[Fecha]])</f>
        <v>19</v>
      </c>
      <c r="G626">
        <f>+YEAR(export?format_csv_gid_612082435[[#This Row],[Fecha]])</f>
        <v>2026</v>
      </c>
      <c r="H626" t="str">
        <f>+VLOOKUP(export?format_csv_gid_612082435[[#This Row],[Valor]],Listas!A:B,2,FALSE)</f>
        <v>Asistencia</v>
      </c>
    </row>
    <row r="627" spans="1:8" hidden="1" x14ac:dyDescent="0.3">
      <c r="A627" t="s">
        <v>72</v>
      </c>
      <c r="B627" t="s">
        <v>88</v>
      </c>
      <c r="C627" t="s">
        <v>93</v>
      </c>
      <c r="D627" s="19">
        <v>46148</v>
      </c>
      <c r="E627" t="s">
        <v>76</v>
      </c>
      <c r="F627">
        <f>+_xlfn.ISOWEEKNUM(export?format_csv_gid_612082435[[#This Row],[Fecha]])</f>
        <v>19</v>
      </c>
      <c r="G627">
        <f>+YEAR(export?format_csv_gid_612082435[[#This Row],[Fecha]])</f>
        <v>2026</v>
      </c>
      <c r="H627" t="str">
        <f>+VLOOKUP(export?format_csv_gid_612082435[[#This Row],[Valor]],Listas!A:B,2,FALSE)</f>
        <v>Asistencia</v>
      </c>
    </row>
    <row r="628" spans="1:8" hidden="1" x14ac:dyDescent="0.3">
      <c r="A628" t="s">
        <v>72</v>
      </c>
      <c r="B628" t="s">
        <v>88</v>
      </c>
      <c r="C628" t="s">
        <v>93</v>
      </c>
      <c r="D628" s="19">
        <v>46149</v>
      </c>
      <c r="E628" t="s">
        <v>76</v>
      </c>
      <c r="F628">
        <f>+_xlfn.ISOWEEKNUM(export?format_csv_gid_612082435[[#This Row],[Fecha]])</f>
        <v>19</v>
      </c>
      <c r="G628">
        <f>+YEAR(export?format_csv_gid_612082435[[#This Row],[Fecha]])</f>
        <v>2026</v>
      </c>
      <c r="H628" t="str">
        <f>+VLOOKUP(export?format_csv_gid_612082435[[#This Row],[Valor]],Listas!A:B,2,FALSE)</f>
        <v>Asistencia</v>
      </c>
    </row>
    <row r="629" spans="1:8" hidden="1" x14ac:dyDescent="0.3">
      <c r="A629" t="s">
        <v>72</v>
      </c>
      <c r="B629" t="s">
        <v>88</v>
      </c>
      <c r="C629" t="s">
        <v>93</v>
      </c>
      <c r="D629" s="19">
        <v>46150</v>
      </c>
      <c r="E629" t="s">
        <v>76</v>
      </c>
      <c r="F629">
        <f>+_xlfn.ISOWEEKNUM(export?format_csv_gid_612082435[[#This Row],[Fecha]])</f>
        <v>19</v>
      </c>
      <c r="G629">
        <f>+YEAR(export?format_csv_gid_612082435[[#This Row],[Fecha]])</f>
        <v>2026</v>
      </c>
      <c r="H629" t="str">
        <f>+VLOOKUP(export?format_csv_gid_612082435[[#This Row],[Valor]],Listas!A:B,2,FALSE)</f>
        <v>Asistencia</v>
      </c>
    </row>
    <row r="630" spans="1:8" hidden="1" x14ac:dyDescent="0.3">
      <c r="A630" t="s">
        <v>72</v>
      </c>
      <c r="B630" t="s">
        <v>88</v>
      </c>
      <c r="C630" t="s">
        <v>93</v>
      </c>
      <c r="D630" s="19">
        <v>46151</v>
      </c>
      <c r="E630" t="s">
        <v>76</v>
      </c>
      <c r="F630">
        <f>+_xlfn.ISOWEEKNUM(export?format_csv_gid_612082435[[#This Row],[Fecha]])</f>
        <v>19</v>
      </c>
      <c r="G630">
        <f>+YEAR(export?format_csv_gid_612082435[[#This Row],[Fecha]])</f>
        <v>2026</v>
      </c>
      <c r="H630" t="str">
        <f>+VLOOKUP(export?format_csv_gid_612082435[[#This Row],[Valor]],Listas!A:B,2,FALSE)</f>
        <v>Asistencia</v>
      </c>
    </row>
    <row r="631" spans="1:8" hidden="1" x14ac:dyDescent="0.3">
      <c r="A631" t="s">
        <v>72</v>
      </c>
      <c r="B631" t="s">
        <v>88</v>
      </c>
      <c r="C631" t="s">
        <v>93</v>
      </c>
      <c r="D631" s="19">
        <v>46152</v>
      </c>
      <c r="E631" t="s">
        <v>113</v>
      </c>
      <c r="F631">
        <f>+_xlfn.ISOWEEKNUM(export?format_csv_gid_612082435[[#This Row],[Fecha]])</f>
        <v>19</v>
      </c>
      <c r="G631">
        <f>+YEAR(export?format_csv_gid_612082435[[#This Row],[Fecha]])</f>
        <v>2026</v>
      </c>
      <c r="H631" t="str">
        <f>+VLOOKUP(export?format_csv_gid_612082435[[#This Row],[Valor]],Listas!A:B,2,FALSE)</f>
        <v>D. Remunerado</v>
      </c>
    </row>
    <row r="632" spans="1:8" hidden="1" x14ac:dyDescent="0.3">
      <c r="A632" t="s">
        <v>72</v>
      </c>
      <c r="B632" t="s">
        <v>88</v>
      </c>
      <c r="C632" t="s">
        <v>93</v>
      </c>
      <c r="D632" s="19">
        <v>46153</v>
      </c>
      <c r="E632" t="s">
        <v>76</v>
      </c>
      <c r="F632">
        <f>+_xlfn.ISOWEEKNUM(export?format_csv_gid_612082435[[#This Row],[Fecha]])</f>
        <v>20</v>
      </c>
      <c r="G632">
        <f>+YEAR(export?format_csv_gid_612082435[[#This Row],[Fecha]])</f>
        <v>2026</v>
      </c>
      <c r="H632" t="str">
        <f>+VLOOKUP(export?format_csv_gid_612082435[[#This Row],[Valor]],Listas!A:B,2,FALSE)</f>
        <v>Asistencia</v>
      </c>
    </row>
    <row r="633" spans="1:8" hidden="1" x14ac:dyDescent="0.3">
      <c r="A633" t="s">
        <v>72</v>
      </c>
      <c r="B633" t="s">
        <v>88</v>
      </c>
      <c r="C633" t="s">
        <v>93</v>
      </c>
      <c r="D633" s="19">
        <v>46154</v>
      </c>
      <c r="E633" t="s">
        <v>76</v>
      </c>
      <c r="F633">
        <f>+_xlfn.ISOWEEKNUM(export?format_csv_gid_612082435[[#This Row],[Fecha]])</f>
        <v>20</v>
      </c>
      <c r="G633">
        <f>+YEAR(export?format_csv_gid_612082435[[#This Row],[Fecha]])</f>
        <v>2026</v>
      </c>
      <c r="H633" t="str">
        <f>+VLOOKUP(export?format_csv_gid_612082435[[#This Row],[Valor]],Listas!A:B,2,FALSE)</f>
        <v>Asistencia</v>
      </c>
    </row>
    <row r="634" spans="1:8" hidden="1" x14ac:dyDescent="0.3">
      <c r="A634" t="s">
        <v>72</v>
      </c>
      <c r="B634" t="s">
        <v>88</v>
      </c>
      <c r="C634" t="s">
        <v>93</v>
      </c>
      <c r="D634" s="19">
        <v>46155</v>
      </c>
      <c r="E634" t="s">
        <v>76</v>
      </c>
      <c r="F634">
        <f>+_xlfn.ISOWEEKNUM(export?format_csv_gid_612082435[[#This Row],[Fecha]])</f>
        <v>20</v>
      </c>
      <c r="G634">
        <f>+YEAR(export?format_csv_gid_612082435[[#This Row],[Fecha]])</f>
        <v>2026</v>
      </c>
      <c r="H634" t="str">
        <f>+VLOOKUP(export?format_csv_gid_612082435[[#This Row],[Valor]],Listas!A:B,2,FALSE)</f>
        <v>Asistencia</v>
      </c>
    </row>
    <row r="635" spans="1:8" hidden="1" x14ac:dyDescent="0.3">
      <c r="A635" t="s">
        <v>72</v>
      </c>
      <c r="B635" t="s">
        <v>88</v>
      </c>
      <c r="C635" t="s">
        <v>93</v>
      </c>
      <c r="D635" s="19">
        <v>46156</v>
      </c>
      <c r="E635" t="s">
        <v>76</v>
      </c>
      <c r="F635">
        <f>+_xlfn.ISOWEEKNUM(export?format_csv_gid_612082435[[#This Row],[Fecha]])</f>
        <v>20</v>
      </c>
      <c r="G635">
        <f>+YEAR(export?format_csv_gid_612082435[[#This Row],[Fecha]])</f>
        <v>2026</v>
      </c>
      <c r="H635" t="str">
        <f>+VLOOKUP(export?format_csv_gid_612082435[[#This Row],[Valor]],Listas!A:B,2,FALSE)</f>
        <v>Asistencia</v>
      </c>
    </row>
    <row r="636" spans="1:8" hidden="1" x14ac:dyDescent="0.3">
      <c r="A636" t="s">
        <v>72</v>
      </c>
      <c r="B636" t="s">
        <v>88</v>
      </c>
      <c r="C636" t="s">
        <v>93</v>
      </c>
      <c r="D636" s="19">
        <v>46157</v>
      </c>
      <c r="E636" t="s">
        <v>76</v>
      </c>
      <c r="F636">
        <f>+_xlfn.ISOWEEKNUM(export?format_csv_gid_612082435[[#This Row],[Fecha]])</f>
        <v>20</v>
      </c>
      <c r="G636">
        <f>+YEAR(export?format_csv_gid_612082435[[#This Row],[Fecha]])</f>
        <v>2026</v>
      </c>
      <c r="H636" t="str">
        <f>+VLOOKUP(export?format_csv_gid_612082435[[#This Row],[Valor]],Listas!A:B,2,FALSE)</f>
        <v>Asistencia</v>
      </c>
    </row>
    <row r="637" spans="1:8" hidden="1" x14ac:dyDescent="0.3">
      <c r="A637" t="s">
        <v>72</v>
      </c>
      <c r="B637" t="s">
        <v>88</v>
      </c>
      <c r="C637" t="s">
        <v>93</v>
      </c>
      <c r="D637" s="19">
        <v>46158</v>
      </c>
      <c r="E637" t="s">
        <v>77</v>
      </c>
      <c r="F637">
        <f>+_xlfn.ISOWEEKNUM(export?format_csv_gid_612082435[[#This Row],[Fecha]])</f>
        <v>20</v>
      </c>
      <c r="G637">
        <f>+YEAR(export?format_csv_gid_612082435[[#This Row],[Fecha]])</f>
        <v>2026</v>
      </c>
      <c r="H637" t="e">
        <f>+VLOOKUP(export?format_csv_gid_612082435[[#This Row],[Valor]],Listas!A:B,2,FALSE)</f>
        <v>#N/A</v>
      </c>
    </row>
    <row r="638" spans="1:8" hidden="1" x14ac:dyDescent="0.3">
      <c r="A638" t="s">
        <v>72</v>
      </c>
      <c r="B638" t="s">
        <v>88</v>
      </c>
      <c r="C638" t="s">
        <v>93</v>
      </c>
      <c r="D638" s="19">
        <v>46159</v>
      </c>
      <c r="E638" t="s">
        <v>77</v>
      </c>
      <c r="F638">
        <f>+_xlfn.ISOWEEKNUM(export?format_csv_gid_612082435[[#This Row],[Fecha]])</f>
        <v>20</v>
      </c>
      <c r="G638">
        <f>+YEAR(export?format_csv_gid_612082435[[#This Row],[Fecha]])</f>
        <v>2026</v>
      </c>
      <c r="H638" t="e">
        <f>+VLOOKUP(export?format_csv_gid_612082435[[#This Row],[Valor]],Listas!A:B,2,FALSE)</f>
        <v>#N/A</v>
      </c>
    </row>
    <row r="639" spans="1:8" hidden="1" x14ac:dyDescent="0.3">
      <c r="A639" t="s">
        <v>72</v>
      </c>
      <c r="B639" t="s">
        <v>88</v>
      </c>
      <c r="C639" t="s">
        <v>93</v>
      </c>
      <c r="D639" s="19">
        <v>46160</v>
      </c>
      <c r="E639" t="s">
        <v>77</v>
      </c>
      <c r="F639">
        <f>+_xlfn.ISOWEEKNUM(export?format_csv_gid_612082435[[#This Row],[Fecha]])</f>
        <v>21</v>
      </c>
      <c r="G639">
        <f>+YEAR(export?format_csv_gid_612082435[[#This Row],[Fecha]])</f>
        <v>2026</v>
      </c>
      <c r="H639" t="e">
        <f>+VLOOKUP(export?format_csv_gid_612082435[[#This Row],[Valor]],Listas!A:B,2,FALSE)</f>
        <v>#N/A</v>
      </c>
    </row>
    <row r="640" spans="1:8" hidden="1" x14ac:dyDescent="0.3">
      <c r="A640" t="s">
        <v>72</v>
      </c>
      <c r="B640" t="s">
        <v>88</v>
      </c>
      <c r="C640" t="s">
        <v>93</v>
      </c>
      <c r="D640" s="19">
        <v>46161</v>
      </c>
      <c r="E640" t="s">
        <v>77</v>
      </c>
      <c r="F640">
        <f>+_xlfn.ISOWEEKNUM(export?format_csv_gid_612082435[[#This Row],[Fecha]])</f>
        <v>21</v>
      </c>
      <c r="G640">
        <f>+YEAR(export?format_csv_gid_612082435[[#This Row],[Fecha]])</f>
        <v>2026</v>
      </c>
      <c r="H640" t="e">
        <f>+VLOOKUP(export?format_csv_gid_612082435[[#This Row],[Valor]],Listas!A:B,2,FALSE)</f>
        <v>#N/A</v>
      </c>
    </row>
    <row r="641" spans="1:8" hidden="1" x14ac:dyDescent="0.3">
      <c r="A641" t="s">
        <v>72</v>
      </c>
      <c r="B641" t="s">
        <v>88</v>
      </c>
      <c r="C641" t="s">
        <v>93</v>
      </c>
      <c r="D641" s="19">
        <v>46162</v>
      </c>
      <c r="E641" t="s">
        <v>77</v>
      </c>
      <c r="F641">
        <f>+_xlfn.ISOWEEKNUM(export?format_csv_gid_612082435[[#This Row],[Fecha]])</f>
        <v>21</v>
      </c>
      <c r="G641">
        <f>+YEAR(export?format_csv_gid_612082435[[#This Row],[Fecha]])</f>
        <v>2026</v>
      </c>
      <c r="H641" t="e">
        <f>+VLOOKUP(export?format_csv_gid_612082435[[#This Row],[Valor]],Listas!A:B,2,FALSE)</f>
        <v>#N/A</v>
      </c>
    </row>
    <row r="642" spans="1:8" hidden="1" x14ac:dyDescent="0.3">
      <c r="A642" t="s">
        <v>72</v>
      </c>
      <c r="B642" t="s">
        <v>88</v>
      </c>
      <c r="C642" t="s">
        <v>93</v>
      </c>
      <c r="D642" s="19">
        <v>46163</v>
      </c>
      <c r="E642" t="s">
        <v>77</v>
      </c>
      <c r="F642">
        <f>+_xlfn.ISOWEEKNUM(export?format_csv_gid_612082435[[#This Row],[Fecha]])</f>
        <v>21</v>
      </c>
      <c r="G642">
        <f>+YEAR(export?format_csv_gid_612082435[[#This Row],[Fecha]])</f>
        <v>2026</v>
      </c>
      <c r="H642" t="e">
        <f>+VLOOKUP(export?format_csv_gid_612082435[[#This Row],[Valor]],Listas!A:B,2,FALSE)</f>
        <v>#N/A</v>
      </c>
    </row>
    <row r="643" spans="1:8" hidden="1" x14ac:dyDescent="0.3">
      <c r="A643" t="s">
        <v>72</v>
      </c>
      <c r="B643" t="s">
        <v>88</v>
      </c>
      <c r="C643" t="s">
        <v>93</v>
      </c>
      <c r="D643" s="19">
        <v>46164</v>
      </c>
      <c r="E643" t="s">
        <v>77</v>
      </c>
      <c r="F643">
        <f>+_xlfn.ISOWEEKNUM(export?format_csv_gid_612082435[[#This Row],[Fecha]])</f>
        <v>21</v>
      </c>
      <c r="G643">
        <f>+YEAR(export?format_csv_gid_612082435[[#This Row],[Fecha]])</f>
        <v>2026</v>
      </c>
      <c r="H643" t="e">
        <f>+VLOOKUP(export?format_csv_gid_612082435[[#This Row],[Valor]],Listas!A:B,2,FALSE)</f>
        <v>#N/A</v>
      </c>
    </row>
    <row r="644" spans="1:8" hidden="1" x14ac:dyDescent="0.3">
      <c r="A644" t="s">
        <v>72</v>
      </c>
      <c r="B644" t="s">
        <v>88</v>
      </c>
      <c r="C644" t="s">
        <v>93</v>
      </c>
      <c r="D644" s="19">
        <v>46165</v>
      </c>
      <c r="E644" t="s">
        <v>77</v>
      </c>
      <c r="F644">
        <f>+_xlfn.ISOWEEKNUM(export?format_csv_gid_612082435[[#This Row],[Fecha]])</f>
        <v>21</v>
      </c>
      <c r="G644">
        <f>+YEAR(export?format_csv_gid_612082435[[#This Row],[Fecha]])</f>
        <v>2026</v>
      </c>
      <c r="H644" t="e">
        <f>+VLOOKUP(export?format_csv_gid_612082435[[#This Row],[Valor]],Listas!A:B,2,FALSE)</f>
        <v>#N/A</v>
      </c>
    </row>
    <row r="645" spans="1:8" hidden="1" x14ac:dyDescent="0.3">
      <c r="A645" t="s">
        <v>72</v>
      </c>
      <c r="B645" t="s">
        <v>88</v>
      </c>
      <c r="C645" t="s">
        <v>93</v>
      </c>
      <c r="D645" s="19">
        <v>46166</v>
      </c>
      <c r="E645" t="s">
        <v>77</v>
      </c>
      <c r="F645">
        <f>+_xlfn.ISOWEEKNUM(export?format_csv_gid_612082435[[#This Row],[Fecha]])</f>
        <v>21</v>
      </c>
      <c r="G645">
        <f>+YEAR(export?format_csv_gid_612082435[[#This Row],[Fecha]])</f>
        <v>2026</v>
      </c>
      <c r="H645" t="e">
        <f>+VLOOKUP(export?format_csv_gid_612082435[[#This Row],[Valor]],Listas!A:B,2,FALSE)</f>
        <v>#N/A</v>
      </c>
    </row>
    <row r="646" spans="1:8" hidden="1" x14ac:dyDescent="0.3">
      <c r="A646" t="s">
        <v>72</v>
      </c>
      <c r="B646" t="s">
        <v>88</v>
      </c>
      <c r="C646" t="s">
        <v>93</v>
      </c>
      <c r="D646" s="19">
        <v>46167</v>
      </c>
      <c r="E646" t="s">
        <v>77</v>
      </c>
      <c r="F646">
        <f>+_xlfn.ISOWEEKNUM(export?format_csv_gid_612082435[[#This Row],[Fecha]])</f>
        <v>22</v>
      </c>
      <c r="G646">
        <f>+YEAR(export?format_csv_gid_612082435[[#This Row],[Fecha]])</f>
        <v>2026</v>
      </c>
      <c r="H646" t="e">
        <f>+VLOOKUP(export?format_csv_gid_612082435[[#This Row],[Valor]],Listas!A:B,2,FALSE)</f>
        <v>#N/A</v>
      </c>
    </row>
    <row r="647" spans="1:8" hidden="1" x14ac:dyDescent="0.3">
      <c r="A647" t="s">
        <v>72</v>
      </c>
      <c r="B647" t="s">
        <v>88</v>
      </c>
      <c r="C647" t="s">
        <v>93</v>
      </c>
      <c r="D647" s="19">
        <v>46168</v>
      </c>
      <c r="E647" t="s">
        <v>77</v>
      </c>
      <c r="F647">
        <f>+_xlfn.ISOWEEKNUM(export?format_csv_gid_612082435[[#This Row],[Fecha]])</f>
        <v>22</v>
      </c>
      <c r="G647">
        <f>+YEAR(export?format_csv_gid_612082435[[#This Row],[Fecha]])</f>
        <v>2026</v>
      </c>
      <c r="H647" t="e">
        <f>+VLOOKUP(export?format_csv_gid_612082435[[#This Row],[Valor]],Listas!A:B,2,FALSE)</f>
        <v>#N/A</v>
      </c>
    </row>
    <row r="648" spans="1:8" hidden="1" x14ac:dyDescent="0.3">
      <c r="A648" t="s">
        <v>72</v>
      </c>
      <c r="B648" t="s">
        <v>88</v>
      </c>
      <c r="C648" t="s">
        <v>93</v>
      </c>
      <c r="D648" s="19">
        <v>46169</v>
      </c>
      <c r="E648" t="s">
        <v>77</v>
      </c>
      <c r="F648">
        <f>+_xlfn.ISOWEEKNUM(export?format_csv_gid_612082435[[#This Row],[Fecha]])</f>
        <v>22</v>
      </c>
      <c r="G648">
        <f>+YEAR(export?format_csv_gid_612082435[[#This Row],[Fecha]])</f>
        <v>2026</v>
      </c>
      <c r="H648" t="e">
        <f>+VLOOKUP(export?format_csv_gid_612082435[[#This Row],[Valor]],Listas!A:B,2,FALSE)</f>
        <v>#N/A</v>
      </c>
    </row>
    <row r="649" spans="1:8" hidden="1" x14ac:dyDescent="0.3">
      <c r="A649" t="s">
        <v>72</v>
      </c>
      <c r="B649" t="s">
        <v>88</v>
      </c>
      <c r="C649" t="s">
        <v>93</v>
      </c>
      <c r="D649" s="19">
        <v>46170</v>
      </c>
      <c r="E649" t="s">
        <v>77</v>
      </c>
      <c r="F649">
        <f>+_xlfn.ISOWEEKNUM(export?format_csv_gid_612082435[[#This Row],[Fecha]])</f>
        <v>22</v>
      </c>
      <c r="G649">
        <f>+YEAR(export?format_csv_gid_612082435[[#This Row],[Fecha]])</f>
        <v>2026</v>
      </c>
      <c r="H649" t="e">
        <f>+VLOOKUP(export?format_csv_gid_612082435[[#This Row],[Valor]],Listas!A:B,2,FALSE)</f>
        <v>#N/A</v>
      </c>
    </row>
    <row r="650" spans="1:8" hidden="1" x14ac:dyDescent="0.3">
      <c r="A650" t="s">
        <v>72</v>
      </c>
      <c r="B650" t="s">
        <v>88</v>
      </c>
      <c r="C650" t="s">
        <v>93</v>
      </c>
      <c r="D650" s="19">
        <v>46171</v>
      </c>
      <c r="E650" t="s">
        <v>77</v>
      </c>
      <c r="F650">
        <f>+_xlfn.ISOWEEKNUM(export?format_csv_gid_612082435[[#This Row],[Fecha]])</f>
        <v>22</v>
      </c>
      <c r="G650">
        <f>+YEAR(export?format_csv_gid_612082435[[#This Row],[Fecha]])</f>
        <v>2026</v>
      </c>
      <c r="H650" t="e">
        <f>+VLOOKUP(export?format_csv_gid_612082435[[#This Row],[Valor]],Listas!A:B,2,FALSE)</f>
        <v>#N/A</v>
      </c>
    </row>
    <row r="651" spans="1:8" hidden="1" x14ac:dyDescent="0.3">
      <c r="A651" t="s">
        <v>72</v>
      </c>
      <c r="B651" t="s">
        <v>88</v>
      </c>
      <c r="C651" t="s">
        <v>93</v>
      </c>
      <c r="D651" s="19">
        <v>46172</v>
      </c>
      <c r="E651" t="s">
        <v>77</v>
      </c>
      <c r="F651">
        <f>+_xlfn.ISOWEEKNUM(export?format_csv_gid_612082435[[#This Row],[Fecha]])</f>
        <v>22</v>
      </c>
      <c r="G651">
        <f>+YEAR(export?format_csv_gid_612082435[[#This Row],[Fecha]])</f>
        <v>2026</v>
      </c>
      <c r="H651" t="e">
        <f>+VLOOKUP(export?format_csv_gid_612082435[[#This Row],[Valor]],Listas!A:B,2,FALSE)</f>
        <v>#N/A</v>
      </c>
    </row>
    <row r="652" spans="1:8" hidden="1" x14ac:dyDescent="0.3">
      <c r="A652" t="s">
        <v>72</v>
      </c>
      <c r="B652" t="s">
        <v>88</v>
      </c>
      <c r="C652" t="s">
        <v>93</v>
      </c>
      <c r="D652" s="19">
        <v>46173</v>
      </c>
      <c r="E652" t="s">
        <v>77</v>
      </c>
      <c r="F652">
        <f>+_xlfn.ISOWEEKNUM(export?format_csv_gid_612082435[[#This Row],[Fecha]])</f>
        <v>22</v>
      </c>
      <c r="G652">
        <f>+YEAR(export?format_csv_gid_612082435[[#This Row],[Fecha]])</f>
        <v>2026</v>
      </c>
      <c r="H652" t="e">
        <f>+VLOOKUP(export?format_csv_gid_612082435[[#This Row],[Valor]],Listas!A:B,2,FALSE)</f>
        <v>#N/A</v>
      </c>
    </row>
    <row r="653" spans="1:8" hidden="1" x14ac:dyDescent="0.3">
      <c r="A653" t="s">
        <v>72</v>
      </c>
      <c r="B653" t="s">
        <v>88</v>
      </c>
      <c r="C653" t="s">
        <v>94</v>
      </c>
      <c r="D653" s="19">
        <v>46143</v>
      </c>
      <c r="E653" t="s">
        <v>76</v>
      </c>
      <c r="F653">
        <f>+_xlfn.ISOWEEKNUM(export?format_csv_gid_612082435[[#This Row],[Fecha]])</f>
        <v>18</v>
      </c>
      <c r="G653">
        <f>+YEAR(export?format_csv_gid_612082435[[#This Row],[Fecha]])</f>
        <v>2026</v>
      </c>
      <c r="H653" t="str">
        <f>+VLOOKUP(export?format_csv_gid_612082435[[#This Row],[Valor]],Listas!A:B,2,FALSE)</f>
        <v>Asistencia</v>
      </c>
    </row>
    <row r="654" spans="1:8" hidden="1" x14ac:dyDescent="0.3">
      <c r="A654" t="s">
        <v>72</v>
      </c>
      <c r="B654" t="s">
        <v>88</v>
      </c>
      <c r="C654" t="s">
        <v>94</v>
      </c>
      <c r="D654" s="19">
        <v>46144</v>
      </c>
      <c r="E654" t="s">
        <v>75</v>
      </c>
      <c r="F654">
        <f>+_xlfn.ISOWEEKNUM(export?format_csv_gid_612082435[[#This Row],[Fecha]])</f>
        <v>18</v>
      </c>
      <c r="G654">
        <f>+YEAR(export?format_csv_gid_612082435[[#This Row],[Fecha]])</f>
        <v>2026</v>
      </c>
      <c r="H654" t="str">
        <f>+VLOOKUP(export?format_csv_gid_612082435[[#This Row],[Valor]],Listas!A:B,2,FALSE)</f>
        <v>No Remunerado</v>
      </c>
    </row>
    <row r="655" spans="1:8" hidden="1" x14ac:dyDescent="0.3">
      <c r="A655" t="s">
        <v>72</v>
      </c>
      <c r="B655" t="s">
        <v>88</v>
      </c>
      <c r="C655" t="s">
        <v>94</v>
      </c>
      <c r="D655" s="19">
        <v>46145</v>
      </c>
      <c r="E655" t="s">
        <v>75</v>
      </c>
      <c r="F655">
        <f>+_xlfn.ISOWEEKNUM(export?format_csv_gid_612082435[[#This Row],[Fecha]])</f>
        <v>18</v>
      </c>
      <c r="G655">
        <f>+YEAR(export?format_csv_gid_612082435[[#This Row],[Fecha]])</f>
        <v>2026</v>
      </c>
      <c r="H655" t="str">
        <f>+VLOOKUP(export?format_csv_gid_612082435[[#This Row],[Valor]],Listas!A:B,2,FALSE)</f>
        <v>No Remunerado</v>
      </c>
    </row>
    <row r="656" spans="1:8" hidden="1" x14ac:dyDescent="0.3">
      <c r="A656" t="s">
        <v>72</v>
      </c>
      <c r="B656" t="s">
        <v>88</v>
      </c>
      <c r="C656" t="s">
        <v>94</v>
      </c>
      <c r="D656" s="19">
        <v>46146</v>
      </c>
      <c r="E656" t="s">
        <v>76</v>
      </c>
      <c r="F656">
        <f>+_xlfn.ISOWEEKNUM(export?format_csv_gid_612082435[[#This Row],[Fecha]])</f>
        <v>19</v>
      </c>
      <c r="G656">
        <f>+YEAR(export?format_csv_gid_612082435[[#This Row],[Fecha]])</f>
        <v>2026</v>
      </c>
      <c r="H656" t="str">
        <f>+VLOOKUP(export?format_csv_gid_612082435[[#This Row],[Valor]],Listas!A:B,2,FALSE)</f>
        <v>Asistencia</v>
      </c>
    </row>
    <row r="657" spans="1:8" hidden="1" x14ac:dyDescent="0.3">
      <c r="A657" t="s">
        <v>72</v>
      </c>
      <c r="B657" t="s">
        <v>88</v>
      </c>
      <c r="C657" t="s">
        <v>94</v>
      </c>
      <c r="D657" s="19">
        <v>46147</v>
      </c>
      <c r="E657" t="s">
        <v>76</v>
      </c>
      <c r="F657">
        <f>+_xlfn.ISOWEEKNUM(export?format_csv_gid_612082435[[#This Row],[Fecha]])</f>
        <v>19</v>
      </c>
      <c r="G657">
        <f>+YEAR(export?format_csv_gid_612082435[[#This Row],[Fecha]])</f>
        <v>2026</v>
      </c>
      <c r="H657" t="str">
        <f>+VLOOKUP(export?format_csv_gid_612082435[[#This Row],[Valor]],Listas!A:B,2,FALSE)</f>
        <v>Asistencia</v>
      </c>
    </row>
    <row r="658" spans="1:8" hidden="1" x14ac:dyDescent="0.3">
      <c r="A658" t="s">
        <v>72</v>
      </c>
      <c r="B658" t="s">
        <v>88</v>
      </c>
      <c r="C658" t="s">
        <v>94</v>
      </c>
      <c r="D658" s="19">
        <v>46148</v>
      </c>
      <c r="E658" t="s">
        <v>76</v>
      </c>
      <c r="F658">
        <f>+_xlfn.ISOWEEKNUM(export?format_csv_gid_612082435[[#This Row],[Fecha]])</f>
        <v>19</v>
      </c>
      <c r="G658">
        <f>+YEAR(export?format_csv_gid_612082435[[#This Row],[Fecha]])</f>
        <v>2026</v>
      </c>
      <c r="H658" t="str">
        <f>+VLOOKUP(export?format_csv_gid_612082435[[#This Row],[Valor]],Listas!A:B,2,FALSE)</f>
        <v>Asistencia</v>
      </c>
    </row>
    <row r="659" spans="1:8" hidden="1" x14ac:dyDescent="0.3">
      <c r="A659" t="s">
        <v>72</v>
      </c>
      <c r="B659" t="s">
        <v>88</v>
      </c>
      <c r="C659" t="s">
        <v>94</v>
      </c>
      <c r="D659" s="19">
        <v>46149</v>
      </c>
      <c r="E659" t="s">
        <v>76</v>
      </c>
      <c r="F659">
        <f>+_xlfn.ISOWEEKNUM(export?format_csv_gid_612082435[[#This Row],[Fecha]])</f>
        <v>19</v>
      </c>
      <c r="G659">
        <f>+YEAR(export?format_csv_gid_612082435[[#This Row],[Fecha]])</f>
        <v>2026</v>
      </c>
      <c r="H659" t="str">
        <f>+VLOOKUP(export?format_csv_gid_612082435[[#This Row],[Valor]],Listas!A:B,2,FALSE)</f>
        <v>Asistencia</v>
      </c>
    </row>
    <row r="660" spans="1:8" hidden="1" x14ac:dyDescent="0.3">
      <c r="A660" t="s">
        <v>72</v>
      </c>
      <c r="B660" t="s">
        <v>88</v>
      </c>
      <c r="C660" t="s">
        <v>94</v>
      </c>
      <c r="D660" s="19">
        <v>46150</v>
      </c>
      <c r="E660" t="s">
        <v>76</v>
      </c>
      <c r="F660">
        <f>+_xlfn.ISOWEEKNUM(export?format_csv_gid_612082435[[#This Row],[Fecha]])</f>
        <v>19</v>
      </c>
      <c r="G660">
        <f>+YEAR(export?format_csv_gid_612082435[[#This Row],[Fecha]])</f>
        <v>2026</v>
      </c>
      <c r="H660" t="str">
        <f>+VLOOKUP(export?format_csv_gid_612082435[[#This Row],[Valor]],Listas!A:B,2,FALSE)</f>
        <v>Asistencia</v>
      </c>
    </row>
    <row r="661" spans="1:8" hidden="1" x14ac:dyDescent="0.3">
      <c r="A661" t="s">
        <v>72</v>
      </c>
      <c r="B661" t="s">
        <v>88</v>
      </c>
      <c r="C661" t="s">
        <v>94</v>
      </c>
      <c r="D661" s="19">
        <v>46151</v>
      </c>
      <c r="E661" t="s">
        <v>76</v>
      </c>
      <c r="F661">
        <f>+_xlfn.ISOWEEKNUM(export?format_csv_gid_612082435[[#This Row],[Fecha]])</f>
        <v>19</v>
      </c>
      <c r="G661">
        <f>+YEAR(export?format_csv_gid_612082435[[#This Row],[Fecha]])</f>
        <v>2026</v>
      </c>
      <c r="H661" t="str">
        <f>+VLOOKUP(export?format_csv_gid_612082435[[#This Row],[Valor]],Listas!A:B,2,FALSE)</f>
        <v>Asistencia</v>
      </c>
    </row>
    <row r="662" spans="1:8" hidden="1" x14ac:dyDescent="0.3">
      <c r="A662" t="s">
        <v>72</v>
      </c>
      <c r="B662" t="s">
        <v>88</v>
      </c>
      <c r="C662" t="s">
        <v>94</v>
      </c>
      <c r="D662" s="19">
        <v>46152</v>
      </c>
      <c r="E662" t="s">
        <v>113</v>
      </c>
      <c r="F662">
        <f>+_xlfn.ISOWEEKNUM(export?format_csv_gid_612082435[[#This Row],[Fecha]])</f>
        <v>19</v>
      </c>
      <c r="G662">
        <f>+YEAR(export?format_csv_gid_612082435[[#This Row],[Fecha]])</f>
        <v>2026</v>
      </c>
      <c r="H662" t="str">
        <f>+VLOOKUP(export?format_csv_gid_612082435[[#This Row],[Valor]],Listas!A:B,2,FALSE)</f>
        <v>D. Remunerado</v>
      </c>
    </row>
    <row r="663" spans="1:8" hidden="1" x14ac:dyDescent="0.3">
      <c r="A663" t="s">
        <v>72</v>
      </c>
      <c r="B663" t="s">
        <v>88</v>
      </c>
      <c r="C663" t="s">
        <v>94</v>
      </c>
      <c r="D663" s="19">
        <v>46153</v>
      </c>
      <c r="E663" t="s">
        <v>95</v>
      </c>
      <c r="F663">
        <f>+_xlfn.ISOWEEKNUM(export?format_csv_gid_612082435[[#This Row],[Fecha]])</f>
        <v>20</v>
      </c>
      <c r="G663">
        <f>+YEAR(export?format_csv_gid_612082435[[#This Row],[Fecha]])</f>
        <v>2026</v>
      </c>
      <c r="H663" t="str">
        <f>+VLOOKUP(export?format_csv_gid_612082435[[#This Row],[Valor]],Listas!A:B,2,FALSE)</f>
        <v>Falta</v>
      </c>
    </row>
    <row r="664" spans="1:8" hidden="1" x14ac:dyDescent="0.3">
      <c r="A664" t="s">
        <v>72</v>
      </c>
      <c r="B664" t="s">
        <v>88</v>
      </c>
      <c r="C664" t="s">
        <v>94</v>
      </c>
      <c r="D664" s="19">
        <v>46154</v>
      </c>
      <c r="E664" t="s">
        <v>76</v>
      </c>
      <c r="F664">
        <f>+_xlfn.ISOWEEKNUM(export?format_csv_gid_612082435[[#This Row],[Fecha]])</f>
        <v>20</v>
      </c>
      <c r="G664">
        <f>+YEAR(export?format_csv_gid_612082435[[#This Row],[Fecha]])</f>
        <v>2026</v>
      </c>
      <c r="H664" t="str">
        <f>+VLOOKUP(export?format_csv_gid_612082435[[#This Row],[Valor]],Listas!A:B,2,FALSE)</f>
        <v>Asistencia</v>
      </c>
    </row>
    <row r="665" spans="1:8" hidden="1" x14ac:dyDescent="0.3">
      <c r="A665" t="s">
        <v>72</v>
      </c>
      <c r="B665" t="s">
        <v>88</v>
      </c>
      <c r="C665" t="s">
        <v>94</v>
      </c>
      <c r="D665" s="19">
        <v>46155</v>
      </c>
      <c r="E665" t="s">
        <v>76</v>
      </c>
      <c r="F665">
        <f>+_xlfn.ISOWEEKNUM(export?format_csv_gid_612082435[[#This Row],[Fecha]])</f>
        <v>20</v>
      </c>
      <c r="G665">
        <f>+YEAR(export?format_csv_gid_612082435[[#This Row],[Fecha]])</f>
        <v>2026</v>
      </c>
      <c r="H665" t="str">
        <f>+VLOOKUP(export?format_csv_gid_612082435[[#This Row],[Valor]],Listas!A:B,2,FALSE)</f>
        <v>Asistencia</v>
      </c>
    </row>
    <row r="666" spans="1:8" hidden="1" x14ac:dyDescent="0.3">
      <c r="A666" t="s">
        <v>72</v>
      </c>
      <c r="B666" t="s">
        <v>88</v>
      </c>
      <c r="C666" t="s">
        <v>94</v>
      </c>
      <c r="D666" s="19">
        <v>46156</v>
      </c>
      <c r="E666" t="s">
        <v>76</v>
      </c>
      <c r="F666">
        <f>+_xlfn.ISOWEEKNUM(export?format_csv_gid_612082435[[#This Row],[Fecha]])</f>
        <v>20</v>
      </c>
      <c r="G666">
        <f>+YEAR(export?format_csv_gid_612082435[[#This Row],[Fecha]])</f>
        <v>2026</v>
      </c>
      <c r="H666" t="str">
        <f>+VLOOKUP(export?format_csv_gid_612082435[[#This Row],[Valor]],Listas!A:B,2,FALSE)</f>
        <v>Asistencia</v>
      </c>
    </row>
    <row r="667" spans="1:8" hidden="1" x14ac:dyDescent="0.3">
      <c r="A667" t="s">
        <v>72</v>
      </c>
      <c r="B667" t="s">
        <v>88</v>
      </c>
      <c r="C667" t="s">
        <v>94</v>
      </c>
      <c r="D667" s="19">
        <v>46157</v>
      </c>
      <c r="E667" t="s">
        <v>76</v>
      </c>
      <c r="F667">
        <f>+_xlfn.ISOWEEKNUM(export?format_csv_gid_612082435[[#This Row],[Fecha]])</f>
        <v>20</v>
      </c>
      <c r="G667">
        <f>+YEAR(export?format_csv_gid_612082435[[#This Row],[Fecha]])</f>
        <v>2026</v>
      </c>
      <c r="H667" t="str">
        <f>+VLOOKUP(export?format_csv_gid_612082435[[#This Row],[Valor]],Listas!A:B,2,FALSE)</f>
        <v>Asistencia</v>
      </c>
    </row>
    <row r="668" spans="1:8" hidden="1" x14ac:dyDescent="0.3">
      <c r="A668" t="s">
        <v>72</v>
      </c>
      <c r="B668" t="s">
        <v>88</v>
      </c>
      <c r="C668" t="s">
        <v>94</v>
      </c>
      <c r="D668" s="19">
        <v>46158</v>
      </c>
      <c r="E668" t="s">
        <v>77</v>
      </c>
      <c r="F668">
        <f>+_xlfn.ISOWEEKNUM(export?format_csv_gid_612082435[[#This Row],[Fecha]])</f>
        <v>20</v>
      </c>
      <c r="G668">
        <f>+YEAR(export?format_csv_gid_612082435[[#This Row],[Fecha]])</f>
        <v>2026</v>
      </c>
      <c r="H668" t="e">
        <f>+VLOOKUP(export?format_csv_gid_612082435[[#This Row],[Valor]],Listas!A:B,2,FALSE)</f>
        <v>#N/A</v>
      </c>
    </row>
    <row r="669" spans="1:8" hidden="1" x14ac:dyDescent="0.3">
      <c r="A669" t="s">
        <v>72</v>
      </c>
      <c r="B669" t="s">
        <v>88</v>
      </c>
      <c r="C669" t="s">
        <v>94</v>
      </c>
      <c r="D669" s="19">
        <v>46159</v>
      </c>
      <c r="E669" t="s">
        <v>77</v>
      </c>
      <c r="F669">
        <f>+_xlfn.ISOWEEKNUM(export?format_csv_gid_612082435[[#This Row],[Fecha]])</f>
        <v>20</v>
      </c>
      <c r="G669">
        <f>+YEAR(export?format_csv_gid_612082435[[#This Row],[Fecha]])</f>
        <v>2026</v>
      </c>
      <c r="H669" t="e">
        <f>+VLOOKUP(export?format_csv_gid_612082435[[#This Row],[Valor]],Listas!A:B,2,FALSE)</f>
        <v>#N/A</v>
      </c>
    </row>
    <row r="670" spans="1:8" hidden="1" x14ac:dyDescent="0.3">
      <c r="A670" t="s">
        <v>72</v>
      </c>
      <c r="B670" t="s">
        <v>88</v>
      </c>
      <c r="C670" t="s">
        <v>94</v>
      </c>
      <c r="D670" s="19">
        <v>46160</v>
      </c>
      <c r="E670" t="s">
        <v>77</v>
      </c>
      <c r="F670">
        <f>+_xlfn.ISOWEEKNUM(export?format_csv_gid_612082435[[#This Row],[Fecha]])</f>
        <v>21</v>
      </c>
      <c r="G670">
        <f>+YEAR(export?format_csv_gid_612082435[[#This Row],[Fecha]])</f>
        <v>2026</v>
      </c>
      <c r="H670" t="e">
        <f>+VLOOKUP(export?format_csv_gid_612082435[[#This Row],[Valor]],Listas!A:B,2,FALSE)</f>
        <v>#N/A</v>
      </c>
    </row>
    <row r="671" spans="1:8" hidden="1" x14ac:dyDescent="0.3">
      <c r="A671" t="s">
        <v>72</v>
      </c>
      <c r="B671" t="s">
        <v>88</v>
      </c>
      <c r="C671" t="s">
        <v>94</v>
      </c>
      <c r="D671" s="19">
        <v>46161</v>
      </c>
      <c r="E671" t="s">
        <v>77</v>
      </c>
      <c r="F671">
        <f>+_xlfn.ISOWEEKNUM(export?format_csv_gid_612082435[[#This Row],[Fecha]])</f>
        <v>21</v>
      </c>
      <c r="G671">
        <f>+YEAR(export?format_csv_gid_612082435[[#This Row],[Fecha]])</f>
        <v>2026</v>
      </c>
      <c r="H671" t="e">
        <f>+VLOOKUP(export?format_csv_gid_612082435[[#This Row],[Valor]],Listas!A:B,2,FALSE)</f>
        <v>#N/A</v>
      </c>
    </row>
    <row r="672" spans="1:8" hidden="1" x14ac:dyDescent="0.3">
      <c r="A672" t="s">
        <v>72</v>
      </c>
      <c r="B672" t="s">
        <v>88</v>
      </c>
      <c r="C672" t="s">
        <v>94</v>
      </c>
      <c r="D672" s="19">
        <v>46162</v>
      </c>
      <c r="E672" t="s">
        <v>77</v>
      </c>
      <c r="F672">
        <f>+_xlfn.ISOWEEKNUM(export?format_csv_gid_612082435[[#This Row],[Fecha]])</f>
        <v>21</v>
      </c>
      <c r="G672">
        <f>+YEAR(export?format_csv_gid_612082435[[#This Row],[Fecha]])</f>
        <v>2026</v>
      </c>
      <c r="H672" t="e">
        <f>+VLOOKUP(export?format_csv_gid_612082435[[#This Row],[Valor]],Listas!A:B,2,FALSE)</f>
        <v>#N/A</v>
      </c>
    </row>
    <row r="673" spans="1:8" hidden="1" x14ac:dyDescent="0.3">
      <c r="A673" t="s">
        <v>72</v>
      </c>
      <c r="B673" t="s">
        <v>88</v>
      </c>
      <c r="C673" t="s">
        <v>94</v>
      </c>
      <c r="D673" s="19">
        <v>46163</v>
      </c>
      <c r="E673" t="s">
        <v>77</v>
      </c>
      <c r="F673">
        <f>+_xlfn.ISOWEEKNUM(export?format_csv_gid_612082435[[#This Row],[Fecha]])</f>
        <v>21</v>
      </c>
      <c r="G673">
        <f>+YEAR(export?format_csv_gid_612082435[[#This Row],[Fecha]])</f>
        <v>2026</v>
      </c>
      <c r="H673" t="e">
        <f>+VLOOKUP(export?format_csv_gid_612082435[[#This Row],[Valor]],Listas!A:B,2,FALSE)</f>
        <v>#N/A</v>
      </c>
    </row>
    <row r="674" spans="1:8" hidden="1" x14ac:dyDescent="0.3">
      <c r="A674" t="s">
        <v>72</v>
      </c>
      <c r="B674" t="s">
        <v>88</v>
      </c>
      <c r="C674" t="s">
        <v>94</v>
      </c>
      <c r="D674" s="19">
        <v>46164</v>
      </c>
      <c r="E674" t="s">
        <v>77</v>
      </c>
      <c r="F674">
        <f>+_xlfn.ISOWEEKNUM(export?format_csv_gid_612082435[[#This Row],[Fecha]])</f>
        <v>21</v>
      </c>
      <c r="G674">
        <f>+YEAR(export?format_csv_gid_612082435[[#This Row],[Fecha]])</f>
        <v>2026</v>
      </c>
      <c r="H674" t="e">
        <f>+VLOOKUP(export?format_csv_gid_612082435[[#This Row],[Valor]],Listas!A:B,2,FALSE)</f>
        <v>#N/A</v>
      </c>
    </row>
    <row r="675" spans="1:8" hidden="1" x14ac:dyDescent="0.3">
      <c r="A675" t="s">
        <v>72</v>
      </c>
      <c r="B675" t="s">
        <v>88</v>
      </c>
      <c r="C675" t="s">
        <v>94</v>
      </c>
      <c r="D675" s="19">
        <v>46165</v>
      </c>
      <c r="E675" t="s">
        <v>77</v>
      </c>
      <c r="F675">
        <f>+_xlfn.ISOWEEKNUM(export?format_csv_gid_612082435[[#This Row],[Fecha]])</f>
        <v>21</v>
      </c>
      <c r="G675">
        <f>+YEAR(export?format_csv_gid_612082435[[#This Row],[Fecha]])</f>
        <v>2026</v>
      </c>
      <c r="H675" t="e">
        <f>+VLOOKUP(export?format_csv_gid_612082435[[#This Row],[Valor]],Listas!A:B,2,FALSE)</f>
        <v>#N/A</v>
      </c>
    </row>
    <row r="676" spans="1:8" hidden="1" x14ac:dyDescent="0.3">
      <c r="A676" t="s">
        <v>72</v>
      </c>
      <c r="B676" t="s">
        <v>88</v>
      </c>
      <c r="C676" t="s">
        <v>94</v>
      </c>
      <c r="D676" s="19">
        <v>46166</v>
      </c>
      <c r="E676" t="s">
        <v>77</v>
      </c>
      <c r="F676">
        <f>+_xlfn.ISOWEEKNUM(export?format_csv_gid_612082435[[#This Row],[Fecha]])</f>
        <v>21</v>
      </c>
      <c r="G676">
        <f>+YEAR(export?format_csv_gid_612082435[[#This Row],[Fecha]])</f>
        <v>2026</v>
      </c>
      <c r="H676" t="e">
        <f>+VLOOKUP(export?format_csv_gid_612082435[[#This Row],[Valor]],Listas!A:B,2,FALSE)</f>
        <v>#N/A</v>
      </c>
    </row>
    <row r="677" spans="1:8" hidden="1" x14ac:dyDescent="0.3">
      <c r="A677" t="s">
        <v>72</v>
      </c>
      <c r="B677" t="s">
        <v>88</v>
      </c>
      <c r="C677" t="s">
        <v>94</v>
      </c>
      <c r="D677" s="19">
        <v>46167</v>
      </c>
      <c r="E677" t="s">
        <v>77</v>
      </c>
      <c r="F677">
        <f>+_xlfn.ISOWEEKNUM(export?format_csv_gid_612082435[[#This Row],[Fecha]])</f>
        <v>22</v>
      </c>
      <c r="G677">
        <f>+YEAR(export?format_csv_gid_612082435[[#This Row],[Fecha]])</f>
        <v>2026</v>
      </c>
      <c r="H677" t="e">
        <f>+VLOOKUP(export?format_csv_gid_612082435[[#This Row],[Valor]],Listas!A:B,2,FALSE)</f>
        <v>#N/A</v>
      </c>
    </row>
    <row r="678" spans="1:8" hidden="1" x14ac:dyDescent="0.3">
      <c r="A678" t="s">
        <v>72</v>
      </c>
      <c r="B678" t="s">
        <v>88</v>
      </c>
      <c r="C678" t="s">
        <v>94</v>
      </c>
      <c r="D678" s="19">
        <v>46168</v>
      </c>
      <c r="E678" t="s">
        <v>77</v>
      </c>
      <c r="F678">
        <f>+_xlfn.ISOWEEKNUM(export?format_csv_gid_612082435[[#This Row],[Fecha]])</f>
        <v>22</v>
      </c>
      <c r="G678">
        <f>+YEAR(export?format_csv_gid_612082435[[#This Row],[Fecha]])</f>
        <v>2026</v>
      </c>
      <c r="H678" t="e">
        <f>+VLOOKUP(export?format_csv_gid_612082435[[#This Row],[Valor]],Listas!A:B,2,FALSE)</f>
        <v>#N/A</v>
      </c>
    </row>
    <row r="679" spans="1:8" hidden="1" x14ac:dyDescent="0.3">
      <c r="A679" t="s">
        <v>72</v>
      </c>
      <c r="B679" t="s">
        <v>88</v>
      </c>
      <c r="C679" t="s">
        <v>94</v>
      </c>
      <c r="D679" s="19">
        <v>46169</v>
      </c>
      <c r="E679" t="s">
        <v>77</v>
      </c>
      <c r="F679">
        <f>+_xlfn.ISOWEEKNUM(export?format_csv_gid_612082435[[#This Row],[Fecha]])</f>
        <v>22</v>
      </c>
      <c r="G679">
        <f>+YEAR(export?format_csv_gid_612082435[[#This Row],[Fecha]])</f>
        <v>2026</v>
      </c>
      <c r="H679" t="e">
        <f>+VLOOKUP(export?format_csv_gid_612082435[[#This Row],[Valor]],Listas!A:B,2,FALSE)</f>
        <v>#N/A</v>
      </c>
    </row>
    <row r="680" spans="1:8" hidden="1" x14ac:dyDescent="0.3">
      <c r="A680" t="s">
        <v>72</v>
      </c>
      <c r="B680" t="s">
        <v>88</v>
      </c>
      <c r="C680" t="s">
        <v>94</v>
      </c>
      <c r="D680" s="19">
        <v>46170</v>
      </c>
      <c r="E680" t="s">
        <v>77</v>
      </c>
      <c r="F680">
        <f>+_xlfn.ISOWEEKNUM(export?format_csv_gid_612082435[[#This Row],[Fecha]])</f>
        <v>22</v>
      </c>
      <c r="G680">
        <f>+YEAR(export?format_csv_gid_612082435[[#This Row],[Fecha]])</f>
        <v>2026</v>
      </c>
      <c r="H680" t="e">
        <f>+VLOOKUP(export?format_csv_gid_612082435[[#This Row],[Valor]],Listas!A:B,2,FALSE)</f>
        <v>#N/A</v>
      </c>
    </row>
    <row r="681" spans="1:8" hidden="1" x14ac:dyDescent="0.3">
      <c r="A681" t="s">
        <v>72</v>
      </c>
      <c r="B681" t="s">
        <v>88</v>
      </c>
      <c r="C681" t="s">
        <v>94</v>
      </c>
      <c r="D681" s="19">
        <v>46171</v>
      </c>
      <c r="E681" t="s">
        <v>77</v>
      </c>
      <c r="F681">
        <f>+_xlfn.ISOWEEKNUM(export?format_csv_gid_612082435[[#This Row],[Fecha]])</f>
        <v>22</v>
      </c>
      <c r="G681">
        <f>+YEAR(export?format_csv_gid_612082435[[#This Row],[Fecha]])</f>
        <v>2026</v>
      </c>
      <c r="H681" t="e">
        <f>+VLOOKUP(export?format_csv_gid_612082435[[#This Row],[Valor]],Listas!A:B,2,FALSE)</f>
        <v>#N/A</v>
      </c>
    </row>
    <row r="682" spans="1:8" hidden="1" x14ac:dyDescent="0.3">
      <c r="A682" t="s">
        <v>72</v>
      </c>
      <c r="B682" t="s">
        <v>88</v>
      </c>
      <c r="C682" t="s">
        <v>94</v>
      </c>
      <c r="D682" s="19">
        <v>46172</v>
      </c>
      <c r="E682" t="s">
        <v>77</v>
      </c>
      <c r="F682">
        <f>+_xlfn.ISOWEEKNUM(export?format_csv_gid_612082435[[#This Row],[Fecha]])</f>
        <v>22</v>
      </c>
      <c r="G682">
        <f>+YEAR(export?format_csv_gid_612082435[[#This Row],[Fecha]])</f>
        <v>2026</v>
      </c>
      <c r="H682" t="e">
        <f>+VLOOKUP(export?format_csv_gid_612082435[[#This Row],[Valor]],Listas!A:B,2,FALSE)</f>
        <v>#N/A</v>
      </c>
    </row>
    <row r="683" spans="1:8" hidden="1" x14ac:dyDescent="0.3">
      <c r="A683" t="s">
        <v>72</v>
      </c>
      <c r="B683" t="s">
        <v>88</v>
      </c>
      <c r="C683" t="s">
        <v>94</v>
      </c>
      <c r="D683" s="19">
        <v>46173</v>
      </c>
      <c r="E683" t="s">
        <v>77</v>
      </c>
      <c r="F683">
        <f>+_xlfn.ISOWEEKNUM(export?format_csv_gid_612082435[[#This Row],[Fecha]])</f>
        <v>22</v>
      </c>
      <c r="G683">
        <f>+YEAR(export?format_csv_gid_612082435[[#This Row],[Fecha]])</f>
        <v>2026</v>
      </c>
      <c r="H683" t="e">
        <f>+VLOOKUP(export?format_csv_gid_612082435[[#This Row],[Valor]],Listas!A:B,2,FALSE)</f>
        <v>#N/A</v>
      </c>
    </row>
    <row r="684" spans="1:8" hidden="1" x14ac:dyDescent="0.3">
      <c r="A684" t="s">
        <v>72</v>
      </c>
      <c r="B684" t="s">
        <v>88</v>
      </c>
      <c r="C684" t="s">
        <v>96</v>
      </c>
      <c r="D684" s="19">
        <v>46143</v>
      </c>
      <c r="E684" t="s">
        <v>92</v>
      </c>
      <c r="F684">
        <f>+_xlfn.ISOWEEKNUM(export?format_csv_gid_612082435[[#This Row],[Fecha]])</f>
        <v>18</v>
      </c>
      <c r="G684">
        <f>+YEAR(export?format_csv_gid_612082435[[#This Row],[Fecha]])</f>
        <v>2026</v>
      </c>
      <c r="H684" t="str">
        <f>+VLOOKUP(export?format_csv_gid_612082435[[#This Row],[Valor]],Listas!A:B,2,FALSE)</f>
        <v>No Remunerado</v>
      </c>
    </row>
    <row r="685" spans="1:8" hidden="1" x14ac:dyDescent="0.3">
      <c r="A685" t="s">
        <v>72</v>
      </c>
      <c r="B685" t="s">
        <v>88</v>
      </c>
      <c r="C685" t="s">
        <v>96</v>
      </c>
      <c r="D685" s="19">
        <v>46144</v>
      </c>
      <c r="E685" t="s">
        <v>92</v>
      </c>
      <c r="F685">
        <f>+_xlfn.ISOWEEKNUM(export?format_csv_gid_612082435[[#This Row],[Fecha]])</f>
        <v>18</v>
      </c>
      <c r="G685">
        <f>+YEAR(export?format_csv_gid_612082435[[#This Row],[Fecha]])</f>
        <v>2026</v>
      </c>
      <c r="H685" t="str">
        <f>+VLOOKUP(export?format_csv_gid_612082435[[#This Row],[Valor]],Listas!A:B,2,FALSE)</f>
        <v>No Remunerado</v>
      </c>
    </row>
    <row r="686" spans="1:8" hidden="1" x14ac:dyDescent="0.3">
      <c r="A686" t="s">
        <v>72</v>
      </c>
      <c r="B686" t="s">
        <v>88</v>
      </c>
      <c r="C686" t="s">
        <v>96</v>
      </c>
      <c r="D686" s="19">
        <v>46145</v>
      </c>
      <c r="E686" t="s">
        <v>92</v>
      </c>
      <c r="F686">
        <f>+_xlfn.ISOWEEKNUM(export?format_csv_gid_612082435[[#This Row],[Fecha]])</f>
        <v>18</v>
      </c>
      <c r="G686">
        <f>+YEAR(export?format_csv_gid_612082435[[#This Row],[Fecha]])</f>
        <v>2026</v>
      </c>
      <c r="H686" t="str">
        <f>+VLOOKUP(export?format_csv_gid_612082435[[#This Row],[Valor]],Listas!A:B,2,FALSE)</f>
        <v>No Remunerado</v>
      </c>
    </row>
    <row r="687" spans="1:8" hidden="1" x14ac:dyDescent="0.3">
      <c r="A687" t="s">
        <v>72</v>
      </c>
      <c r="B687" t="s">
        <v>88</v>
      </c>
      <c r="C687" t="s">
        <v>96</v>
      </c>
      <c r="D687" s="19">
        <v>46146</v>
      </c>
      <c r="E687" t="s">
        <v>92</v>
      </c>
      <c r="F687">
        <f>+_xlfn.ISOWEEKNUM(export?format_csv_gid_612082435[[#This Row],[Fecha]])</f>
        <v>19</v>
      </c>
      <c r="G687">
        <f>+YEAR(export?format_csv_gid_612082435[[#This Row],[Fecha]])</f>
        <v>2026</v>
      </c>
      <c r="H687" t="str">
        <f>+VLOOKUP(export?format_csv_gid_612082435[[#This Row],[Valor]],Listas!A:B,2,FALSE)</f>
        <v>No Remunerado</v>
      </c>
    </row>
    <row r="688" spans="1:8" hidden="1" x14ac:dyDescent="0.3">
      <c r="A688" t="s">
        <v>72</v>
      </c>
      <c r="B688" t="s">
        <v>88</v>
      </c>
      <c r="C688" t="s">
        <v>96</v>
      </c>
      <c r="D688" s="19">
        <v>46147</v>
      </c>
      <c r="E688" t="s">
        <v>92</v>
      </c>
      <c r="F688">
        <f>+_xlfn.ISOWEEKNUM(export?format_csv_gid_612082435[[#This Row],[Fecha]])</f>
        <v>19</v>
      </c>
      <c r="G688">
        <f>+YEAR(export?format_csv_gid_612082435[[#This Row],[Fecha]])</f>
        <v>2026</v>
      </c>
      <c r="H688" t="str">
        <f>+VLOOKUP(export?format_csv_gid_612082435[[#This Row],[Valor]],Listas!A:B,2,FALSE)</f>
        <v>No Remunerado</v>
      </c>
    </row>
    <row r="689" spans="1:8" hidden="1" x14ac:dyDescent="0.3">
      <c r="A689" t="s">
        <v>72</v>
      </c>
      <c r="B689" t="s">
        <v>88</v>
      </c>
      <c r="C689" t="s">
        <v>96</v>
      </c>
      <c r="D689" s="19">
        <v>46148</v>
      </c>
      <c r="E689" t="s">
        <v>92</v>
      </c>
      <c r="F689">
        <f>+_xlfn.ISOWEEKNUM(export?format_csv_gid_612082435[[#This Row],[Fecha]])</f>
        <v>19</v>
      </c>
      <c r="G689">
        <f>+YEAR(export?format_csv_gid_612082435[[#This Row],[Fecha]])</f>
        <v>2026</v>
      </c>
      <c r="H689" t="str">
        <f>+VLOOKUP(export?format_csv_gid_612082435[[#This Row],[Valor]],Listas!A:B,2,FALSE)</f>
        <v>No Remunerado</v>
      </c>
    </row>
    <row r="690" spans="1:8" hidden="1" x14ac:dyDescent="0.3">
      <c r="A690" t="s">
        <v>72</v>
      </c>
      <c r="B690" t="s">
        <v>88</v>
      </c>
      <c r="C690" t="s">
        <v>96</v>
      </c>
      <c r="D690" s="19">
        <v>46149</v>
      </c>
      <c r="E690" t="s">
        <v>92</v>
      </c>
      <c r="F690">
        <f>+_xlfn.ISOWEEKNUM(export?format_csv_gid_612082435[[#This Row],[Fecha]])</f>
        <v>19</v>
      </c>
      <c r="G690">
        <f>+YEAR(export?format_csv_gid_612082435[[#This Row],[Fecha]])</f>
        <v>2026</v>
      </c>
      <c r="H690" t="str">
        <f>+VLOOKUP(export?format_csv_gid_612082435[[#This Row],[Valor]],Listas!A:B,2,FALSE)</f>
        <v>No Remunerado</v>
      </c>
    </row>
    <row r="691" spans="1:8" hidden="1" x14ac:dyDescent="0.3">
      <c r="A691" t="s">
        <v>72</v>
      </c>
      <c r="B691" t="s">
        <v>88</v>
      </c>
      <c r="C691" t="s">
        <v>96</v>
      </c>
      <c r="D691" s="19">
        <v>46150</v>
      </c>
      <c r="E691" t="s">
        <v>92</v>
      </c>
      <c r="F691">
        <f>+_xlfn.ISOWEEKNUM(export?format_csv_gid_612082435[[#This Row],[Fecha]])</f>
        <v>19</v>
      </c>
      <c r="G691">
        <f>+YEAR(export?format_csv_gid_612082435[[#This Row],[Fecha]])</f>
        <v>2026</v>
      </c>
      <c r="H691" t="str">
        <f>+VLOOKUP(export?format_csv_gid_612082435[[#This Row],[Valor]],Listas!A:B,2,FALSE)</f>
        <v>No Remunerado</v>
      </c>
    </row>
    <row r="692" spans="1:8" hidden="1" x14ac:dyDescent="0.3">
      <c r="A692" t="s">
        <v>72</v>
      </c>
      <c r="B692" t="s">
        <v>88</v>
      </c>
      <c r="C692" t="s">
        <v>96</v>
      </c>
      <c r="D692" s="19">
        <v>46151</v>
      </c>
      <c r="E692" t="s">
        <v>92</v>
      </c>
      <c r="F692">
        <f>+_xlfn.ISOWEEKNUM(export?format_csv_gid_612082435[[#This Row],[Fecha]])</f>
        <v>19</v>
      </c>
      <c r="G692">
        <f>+YEAR(export?format_csv_gid_612082435[[#This Row],[Fecha]])</f>
        <v>2026</v>
      </c>
      <c r="H692" t="str">
        <f>+VLOOKUP(export?format_csv_gid_612082435[[#This Row],[Valor]],Listas!A:B,2,FALSE)</f>
        <v>No Remunerado</v>
      </c>
    </row>
    <row r="693" spans="1:8" hidden="1" x14ac:dyDescent="0.3">
      <c r="A693" t="s">
        <v>72</v>
      </c>
      <c r="B693" t="s">
        <v>88</v>
      </c>
      <c r="C693" t="s">
        <v>96</v>
      </c>
      <c r="D693" s="19">
        <v>46152</v>
      </c>
      <c r="E693" t="s">
        <v>92</v>
      </c>
      <c r="F693">
        <f>+_xlfn.ISOWEEKNUM(export?format_csv_gid_612082435[[#This Row],[Fecha]])</f>
        <v>19</v>
      </c>
      <c r="G693">
        <f>+YEAR(export?format_csv_gid_612082435[[#This Row],[Fecha]])</f>
        <v>2026</v>
      </c>
      <c r="H693" t="str">
        <f>+VLOOKUP(export?format_csv_gid_612082435[[#This Row],[Valor]],Listas!A:B,2,FALSE)</f>
        <v>No Remunerado</v>
      </c>
    </row>
    <row r="694" spans="1:8" hidden="1" x14ac:dyDescent="0.3">
      <c r="A694" t="s">
        <v>72</v>
      </c>
      <c r="B694" t="s">
        <v>88</v>
      </c>
      <c r="C694" t="s">
        <v>96</v>
      </c>
      <c r="D694" s="19">
        <v>46153</v>
      </c>
      <c r="E694" t="s">
        <v>76</v>
      </c>
      <c r="F694">
        <f>+_xlfn.ISOWEEKNUM(export?format_csv_gid_612082435[[#This Row],[Fecha]])</f>
        <v>20</v>
      </c>
      <c r="G694">
        <f>+YEAR(export?format_csv_gid_612082435[[#This Row],[Fecha]])</f>
        <v>2026</v>
      </c>
      <c r="H694" t="str">
        <f>+VLOOKUP(export?format_csv_gid_612082435[[#This Row],[Valor]],Listas!A:B,2,FALSE)</f>
        <v>Asistencia</v>
      </c>
    </row>
    <row r="695" spans="1:8" hidden="1" x14ac:dyDescent="0.3">
      <c r="A695" t="s">
        <v>72</v>
      </c>
      <c r="B695" t="s">
        <v>88</v>
      </c>
      <c r="C695" t="s">
        <v>96</v>
      </c>
      <c r="D695" s="19">
        <v>46154</v>
      </c>
      <c r="E695" t="s">
        <v>76</v>
      </c>
      <c r="F695">
        <f>+_xlfn.ISOWEEKNUM(export?format_csv_gid_612082435[[#This Row],[Fecha]])</f>
        <v>20</v>
      </c>
      <c r="G695">
        <f>+YEAR(export?format_csv_gid_612082435[[#This Row],[Fecha]])</f>
        <v>2026</v>
      </c>
      <c r="H695" t="str">
        <f>+VLOOKUP(export?format_csv_gid_612082435[[#This Row],[Valor]],Listas!A:B,2,FALSE)</f>
        <v>Asistencia</v>
      </c>
    </row>
    <row r="696" spans="1:8" hidden="1" x14ac:dyDescent="0.3">
      <c r="A696" t="s">
        <v>72</v>
      </c>
      <c r="B696" t="s">
        <v>88</v>
      </c>
      <c r="C696" t="s">
        <v>96</v>
      </c>
      <c r="D696" s="19">
        <v>46155</v>
      </c>
      <c r="E696" t="s">
        <v>76</v>
      </c>
      <c r="F696">
        <f>+_xlfn.ISOWEEKNUM(export?format_csv_gid_612082435[[#This Row],[Fecha]])</f>
        <v>20</v>
      </c>
      <c r="G696">
        <f>+YEAR(export?format_csv_gid_612082435[[#This Row],[Fecha]])</f>
        <v>2026</v>
      </c>
      <c r="H696" t="str">
        <f>+VLOOKUP(export?format_csv_gid_612082435[[#This Row],[Valor]],Listas!A:B,2,FALSE)</f>
        <v>Asistencia</v>
      </c>
    </row>
    <row r="697" spans="1:8" hidden="1" x14ac:dyDescent="0.3">
      <c r="A697" t="s">
        <v>72</v>
      </c>
      <c r="B697" t="s">
        <v>88</v>
      </c>
      <c r="C697" t="s">
        <v>96</v>
      </c>
      <c r="D697" s="19">
        <v>46156</v>
      </c>
      <c r="E697" t="s">
        <v>76</v>
      </c>
      <c r="F697">
        <f>+_xlfn.ISOWEEKNUM(export?format_csv_gid_612082435[[#This Row],[Fecha]])</f>
        <v>20</v>
      </c>
      <c r="G697">
        <f>+YEAR(export?format_csv_gid_612082435[[#This Row],[Fecha]])</f>
        <v>2026</v>
      </c>
      <c r="H697" t="str">
        <f>+VLOOKUP(export?format_csv_gid_612082435[[#This Row],[Valor]],Listas!A:B,2,FALSE)</f>
        <v>Asistencia</v>
      </c>
    </row>
    <row r="698" spans="1:8" hidden="1" x14ac:dyDescent="0.3">
      <c r="A698" t="s">
        <v>72</v>
      </c>
      <c r="B698" t="s">
        <v>88</v>
      </c>
      <c r="C698" t="s">
        <v>96</v>
      </c>
      <c r="D698" s="19">
        <v>46157</v>
      </c>
      <c r="E698" t="s">
        <v>76</v>
      </c>
      <c r="F698">
        <f>+_xlfn.ISOWEEKNUM(export?format_csv_gid_612082435[[#This Row],[Fecha]])</f>
        <v>20</v>
      </c>
      <c r="G698">
        <f>+YEAR(export?format_csv_gid_612082435[[#This Row],[Fecha]])</f>
        <v>2026</v>
      </c>
      <c r="H698" t="str">
        <f>+VLOOKUP(export?format_csv_gid_612082435[[#This Row],[Valor]],Listas!A:B,2,FALSE)</f>
        <v>Asistencia</v>
      </c>
    </row>
    <row r="699" spans="1:8" hidden="1" x14ac:dyDescent="0.3">
      <c r="A699" t="s">
        <v>72</v>
      </c>
      <c r="B699" t="s">
        <v>88</v>
      </c>
      <c r="C699" t="s">
        <v>96</v>
      </c>
      <c r="D699" s="19">
        <v>46158</v>
      </c>
      <c r="E699" t="s">
        <v>77</v>
      </c>
      <c r="F699">
        <f>+_xlfn.ISOWEEKNUM(export?format_csv_gid_612082435[[#This Row],[Fecha]])</f>
        <v>20</v>
      </c>
      <c r="G699">
        <f>+YEAR(export?format_csv_gid_612082435[[#This Row],[Fecha]])</f>
        <v>2026</v>
      </c>
      <c r="H699" t="e">
        <f>+VLOOKUP(export?format_csv_gid_612082435[[#This Row],[Valor]],Listas!A:B,2,FALSE)</f>
        <v>#N/A</v>
      </c>
    </row>
    <row r="700" spans="1:8" hidden="1" x14ac:dyDescent="0.3">
      <c r="A700" t="s">
        <v>72</v>
      </c>
      <c r="B700" t="s">
        <v>88</v>
      </c>
      <c r="C700" t="s">
        <v>96</v>
      </c>
      <c r="D700" s="19">
        <v>46159</v>
      </c>
      <c r="E700" t="s">
        <v>77</v>
      </c>
      <c r="F700">
        <f>+_xlfn.ISOWEEKNUM(export?format_csv_gid_612082435[[#This Row],[Fecha]])</f>
        <v>20</v>
      </c>
      <c r="G700">
        <f>+YEAR(export?format_csv_gid_612082435[[#This Row],[Fecha]])</f>
        <v>2026</v>
      </c>
      <c r="H700" t="e">
        <f>+VLOOKUP(export?format_csv_gid_612082435[[#This Row],[Valor]],Listas!A:B,2,FALSE)</f>
        <v>#N/A</v>
      </c>
    </row>
    <row r="701" spans="1:8" hidden="1" x14ac:dyDescent="0.3">
      <c r="A701" t="s">
        <v>72</v>
      </c>
      <c r="B701" t="s">
        <v>88</v>
      </c>
      <c r="C701" t="s">
        <v>96</v>
      </c>
      <c r="D701" s="19">
        <v>46160</v>
      </c>
      <c r="E701" t="s">
        <v>77</v>
      </c>
      <c r="F701">
        <f>+_xlfn.ISOWEEKNUM(export?format_csv_gid_612082435[[#This Row],[Fecha]])</f>
        <v>21</v>
      </c>
      <c r="G701">
        <f>+YEAR(export?format_csv_gid_612082435[[#This Row],[Fecha]])</f>
        <v>2026</v>
      </c>
      <c r="H701" t="e">
        <f>+VLOOKUP(export?format_csv_gid_612082435[[#This Row],[Valor]],Listas!A:B,2,FALSE)</f>
        <v>#N/A</v>
      </c>
    </row>
    <row r="702" spans="1:8" hidden="1" x14ac:dyDescent="0.3">
      <c r="A702" t="s">
        <v>72</v>
      </c>
      <c r="B702" t="s">
        <v>88</v>
      </c>
      <c r="C702" t="s">
        <v>96</v>
      </c>
      <c r="D702" s="19">
        <v>46161</v>
      </c>
      <c r="E702" t="s">
        <v>77</v>
      </c>
      <c r="F702">
        <f>+_xlfn.ISOWEEKNUM(export?format_csv_gid_612082435[[#This Row],[Fecha]])</f>
        <v>21</v>
      </c>
      <c r="G702">
        <f>+YEAR(export?format_csv_gid_612082435[[#This Row],[Fecha]])</f>
        <v>2026</v>
      </c>
      <c r="H702" t="e">
        <f>+VLOOKUP(export?format_csv_gid_612082435[[#This Row],[Valor]],Listas!A:B,2,FALSE)</f>
        <v>#N/A</v>
      </c>
    </row>
    <row r="703" spans="1:8" hidden="1" x14ac:dyDescent="0.3">
      <c r="A703" t="s">
        <v>72</v>
      </c>
      <c r="B703" t="s">
        <v>88</v>
      </c>
      <c r="C703" t="s">
        <v>96</v>
      </c>
      <c r="D703" s="19">
        <v>46162</v>
      </c>
      <c r="E703" t="s">
        <v>77</v>
      </c>
      <c r="F703">
        <f>+_xlfn.ISOWEEKNUM(export?format_csv_gid_612082435[[#This Row],[Fecha]])</f>
        <v>21</v>
      </c>
      <c r="G703">
        <f>+YEAR(export?format_csv_gid_612082435[[#This Row],[Fecha]])</f>
        <v>2026</v>
      </c>
      <c r="H703" t="e">
        <f>+VLOOKUP(export?format_csv_gid_612082435[[#This Row],[Valor]],Listas!A:B,2,FALSE)</f>
        <v>#N/A</v>
      </c>
    </row>
    <row r="704" spans="1:8" hidden="1" x14ac:dyDescent="0.3">
      <c r="A704" t="s">
        <v>72</v>
      </c>
      <c r="B704" t="s">
        <v>88</v>
      </c>
      <c r="C704" t="s">
        <v>96</v>
      </c>
      <c r="D704" s="19">
        <v>46163</v>
      </c>
      <c r="E704" t="s">
        <v>77</v>
      </c>
      <c r="F704">
        <f>+_xlfn.ISOWEEKNUM(export?format_csv_gid_612082435[[#This Row],[Fecha]])</f>
        <v>21</v>
      </c>
      <c r="G704">
        <f>+YEAR(export?format_csv_gid_612082435[[#This Row],[Fecha]])</f>
        <v>2026</v>
      </c>
      <c r="H704" t="e">
        <f>+VLOOKUP(export?format_csv_gid_612082435[[#This Row],[Valor]],Listas!A:B,2,FALSE)</f>
        <v>#N/A</v>
      </c>
    </row>
    <row r="705" spans="1:8" hidden="1" x14ac:dyDescent="0.3">
      <c r="A705" t="s">
        <v>72</v>
      </c>
      <c r="B705" t="s">
        <v>88</v>
      </c>
      <c r="C705" t="s">
        <v>96</v>
      </c>
      <c r="D705" s="19">
        <v>46164</v>
      </c>
      <c r="E705" t="s">
        <v>77</v>
      </c>
      <c r="F705">
        <f>+_xlfn.ISOWEEKNUM(export?format_csv_gid_612082435[[#This Row],[Fecha]])</f>
        <v>21</v>
      </c>
      <c r="G705">
        <f>+YEAR(export?format_csv_gid_612082435[[#This Row],[Fecha]])</f>
        <v>2026</v>
      </c>
      <c r="H705" t="e">
        <f>+VLOOKUP(export?format_csv_gid_612082435[[#This Row],[Valor]],Listas!A:B,2,FALSE)</f>
        <v>#N/A</v>
      </c>
    </row>
    <row r="706" spans="1:8" hidden="1" x14ac:dyDescent="0.3">
      <c r="A706" t="s">
        <v>72</v>
      </c>
      <c r="B706" t="s">
        <v>88</v>
      </c>
      <c r="C706" t="s">
        <v>96</v>
      </c>
      <c r="D706" s="19">
        <v>46165</v>
      </c>
      <c r="E706" t="s">
        <v>77</v>
      </c>
      <c r="F706">
        <f>+_xlfn.ISOWEEKNUM(export?format_csv_gid_612082435[[#This Row],[Fecha]])</f>
        <v>21</v>
      </c>
      <c r="G706">
        <f>+YEAR(export?format_csv_gid_612082435[[#This Row],[Fecha]])</f>
        <v>2026</v>
      </c>
      <c r="H706" t="e">
        <f>+VLOOKUP(export?format_csv_gid_612082435[[#This Row],[Valor]],Listas!A:B,2,FALSE)</f>
        <v>#N/A</v>
      </c>
    </row>
    <row r="707" spans="1:8" hidden="1" x14ac:dyDescent="0.3">
      <c r="A707" t="s">
        <v>72</v>
      </c>
      <c r="B707" t="s">
        <v>88</v>
      </c>
      <c r="C707" t="s">
        <v>96</v>
      </c>
      <c r="D707" s="19">
        <v>46166</v>
      </c>
      <c r="E707" t="s">
        <v>77</v>
      </c>
      <c r="F707">
        <f>+_xlfn.ISOWEEKNUM(export?format_csv_gid_612082435[[#This Row],[Fecha]])</f>
        <v>21</v>
      </c>
      <c r="G707">
        <f>+YEAR(export?format_csv_gid_612082435[[#This Row],[Fecha]])</f>
        <v>2026</v>
      </c>
      <c r="H707" t="e">
        <f>+VLOOKUP(export?format_csv_gid_612082435[[#This Row],[Valor]],Listas!A:B,2,FALSE)</f>
        <v>#N/A</v>
      </c>
    </row>
    <row r="708" spans="1:8" hidden="1" x14ac:dyDescent="0.3">
      <c r="A708" t="s">
        <v>72</v>
      </c>
      <c r="B708" t="s">
        <v>88</v>
      </c>
      <c r="C708" t="s">
        <v>96</v>
      </c>
      <c r="D708" s="19">
        <v>46167</v>
      </c>
      <c r="E708" t="s">
        <v>77</v>
      </c>
      <c r="F708">
        <f>+_xlfn.ISOWEEKNUM(export?format_csv_gid_612082435[[#This Row],[Fecha]])</f>
        <v>22</v>
      </c>
      <c r="G708">
        <f>+YEAR(export?format_csv_gid_612082435[[#This Row],[Fecha]])</f>
        <v>2026</v>
      </c>
      <c r="H708" t="e">
        <f>+VLOOKUP(export?format_csv_gid_612082435[[#This Row],[Valor]],Listas!A:B,2,FALSE)</f>
        <v>#N/A</v>
      </c>
    </row>
    <row r="709" spans="1:8" hidden="1" x14ac:dyDescent="0.3">
      <c r="A709" t="s">
        <v>72</v>
      </c>
      <c r="B709" t="s">
        <v>88</v>
      </c>
      <c r="C709" t="s">
        <v>96</v>
      </c>
      <c r="D709" s="19">
        <v>46168</v>
      </c>
      <c r="E709" t="s">
        <v>77</v>
      </c>
      <c r="F709">
        <f>+_xlfn.ISOWEEKNUM(export?format_csv_gid_612082435[[#This Row],[Fecha]])</f>
        <v>22</v>
      </c>
      <c r="G709">
        <f>+YEAR(export?format_csv_gid_612082435[[#This Row],[Fecha]])</f>
        <v>2026</v>
      </c>
      <c r="H709" t="e">
        <f>+VLOOKUP(export?format_csv_gid_612082435[[#This Row],[Valor]],Listas!A:B,2,FALSE)</f>
        <v>#N/A</v>
      </c>
    </row>
    <row r="710" spans="1:8" hidden="1" x14ac:dyDescent="0.3">
      <c r="A710" t="s">
        <v>72</v>
      </c>
      <c r="B710" t="s">
        <v>88</v>
      </c>
      <c r="C710" t="s">
        <v>96</v>
      </c>
      <c r="D710" s="19">
        <v>46169</v>
      </c>
      <c r="E710" t="s">
        <v>77</v>
      </c>
      <c r="F710">
        <f>+_xlfn.ISOWEEKNUM(export?format_csv_gid_612082435[[#This Row],[Fecha]])</f>
        <v>22</v>
      </c>
      <c r="G710">
        <f>+YEAR(export?format_csv_gid_612082435[[#This Row],[Fecha]])</f>
        <v>2026</v>
      </c>
      <c r="H710" t="e">
        <f>+VLOOKUP(export?format_csv_gid_612082435[[#This Row],[Valor]],Listas!A:B,2,FALSE)</f>
        <v>#N/A</v>
      </c>
    </row>
    <row r="711" spans="1:8" hidden="1" x14ac:dyDescent="0.3">
      <c r="A711" t="s">
        <v>72</v>
      </c>
      <c r="B711" t="s">
        <v>88</v>
      </c>
      <c r="C711" t="s">
        <v>96</v>
      </c>
      <c r="D711" s="19">
        <v>46170</v>
      </c>
      <c r="E711" t="s">
        <v>77</v>
      </c>
      <c r="F711">
        <f>+_xlfn.ISOWEEKNUM(export?format_csv_gid_612082435[[#This Row],[Fecha]])</f>
        <v>22</v>
      </c>
      <c r="G711">
        <f>+YEAR(export?format_csv_gid_612082435[[#This Row],[Fecha]])</f>
        <v>2026</v>
      </c>
      <c r="H711" t="e">
        <f>+VLOOKUP(export?format_csv_gid_612082435[[#This Row],[Valor]],Listas!A:B,2,FALSE)</f>
        <v>#N/A</v>
      </c>
    </row>
    <row r="712" spans="1:8" hidden="1" x14ac:dyDescent="0.3">
      <c r="A712" t="s">
        <v>72</v>
      </c>
      <c r="B712" t="s">
        <v>88</v>
      </c>
      <c r="C712" t="s">
        <v>96</v>
      </c>
      <c r="D712" s="19">
        <v>46171</v>
      </c>
      <c r="E712" t="s">
        <v>77</v>
      </c>
      <c r="F712">
        <f>+_xlfn.ISOWEEKNUM(export?format_csv_gid_612082435[[#This Row],[Fecha]])</f>
        <v>22</v>
      </c>
      <c r="G712">
        <f>+YEAR(export?format_csv_gid_612082435[[#This Row],[Fecha]])</f>
        <v>2026</v>
      </c>
      <c r="H712" t="e">
        <f>+VLOOKUP(export?format_csv_gid_612082435[[#This Row],[Valor]],Listas!A:B,2,FALSE)</f>
        <v>#N/A</v>
      </c>
    </row>
    <row r="713" spans="1:8" hidden="1" x14ac:dyDescent="0.3">
      <c r="A713" t="s">
        <v>72</v>
      </c>
      <c r="B713" t="s">
        <v>88</v>
      </c>
      <c r="C713" t="s">
        <v>96</v>
      </c>
      <c r="D713" s="19">
        <v>46172</v>
      </c>
      <c r="E713" t="s">
        <v>77</v>
      </c>
      <c r="F713">
        <f>+_xlfn.ISOWEEKNUM(export?format_csv_gid_612082435[[#This Row],[Fecha]])</f>
        <v>22</v>
      </c>
      <c r="G713">
        <f>+YEAR(export?format_csv_gid_612082435[[#This Row],[Fecha]])</f>
        <v>2026</v>
      </c>
      <c r="H713" t="e">
        <f>+VLOOKUP(export?format_csv_gid_612082435[[#This Row],[Valor]],Listas!A:B,2,FALSE)</f>
        <v>#N/A</v>
      </c>
    </row>
    <row r="714" spans="1:8" hidden="1" x14ac:dyDescent="0.3">
      <c r="A714" t="s">
        <v>72</v>
      </c>
      <c r="B714" t="s">
        <v>88</v>
      </c>
      <c r="C714" t="s">
        <v>96</v>
      </c>
      <c r="D714" s="19">
        <v>46173</v>
      </c>
      <c r="E714" t="s">
        <v>77</v>
      </c>
      <c r="F714">
        <f>+_xlfn.ISOWEEKNUM(export?format_csv_gid_612082435[[#This Row],[Fecha]])</f>
        <v>22</v>
      </c>
      <c r="G714">
        <f>+YEAR(export?format_csv_gid_612082435[[#This Row],[Fecha]])</f>
        <v>2026</v>
      </c>
      <c r="H714" t="e">
        <f>+VLOOKUP(export?format_csv_gid_612082435[[#This Row],[Valor]],Listas!A:B,2,FALSE)</f>
        <v>#N/A</v>
      </c>
    </row>
    <row r="715" spans="1:8" hidden="1" x14ac:dyDescent="0.3">
      <c r="A715" t="s">
        <v>72</v>
      </c>
      <c r="B715" t="s">
        <v>88</v>
      </c>
      <c r="C715" t="s">
        <v>97</v>
      </c>
      <c r="D715" s="19">
        <v>46143</v>
      </c>
      <c r="E715" t="s">
        <v>92</v>
      </c>
      <c r="F715">
        <f>+_xlfn.ISOWEEKNUM(export?format_csv_gid_612082435[[#This Row],[Fecha]])</f>
        <v>18</v>
      </c>
      <c r="G715">
        <f>+YEAR(export?format_csv_gid_612082435[[#This Row],[Fecha]])</f>
        <v>2026</v>
      </c>
      <c r="H715" t="str">
        <f>+VLOOKUP(export?format_csv_gid_612082435[[#This Row],[Valor]],Listas!A:B,2,FALSE)</f>
        <v>No Remunerado</v>
      </c>
    </row>
    <row r="716" spans="1:8" hidden="1" x14ac:dyDescent="0.3">
      <c r="A716" t="s">
        <v>72</v>
      </c>
      <c r="B716" t="s">
        <v>88</v>
      </c>
      <c r="C716" t="s">
        <v>97</v>
      </c>
      <c r="D716" s="19">
        <v>46144</v>
      </c>
      <c r="E716" t="s">
        <v>92</v>
      </c>
      <c r="F716">
        <f>+_xlfn.ISOWEEKNUM(export?format_csv_gid_612082435[[#This Row],[Fecha]])</f>
        <v>18</v>
      </c>
      <c r="G716">
        <f>+YEAR(export?format_csv_gid_612082435[[#This Row],[Fecha]])</f>
        <v>2026</v>
      </c>
      <c r="H716" t="str">
        <f>+VLOOKUP(export?format_csv_gid_612082435[[#This Row],[Valor]],Listas!A:B,2,FALSE)</f>
        <v>No Remunerado</v>
      </c>
    </row>
    <row r="717" spans="1:8" hidden="1" x14ac:dyDescent="0.3">
      <c r="A717" t="s">
        <v>72</v>
      </c>
      <c r="B717" t="s">
        <v>88</v>
      </c>
      <c r="C717" t="s">
        <v>97</v>
      </c>
      <c r="D717" s="19">
        <v>46145</v>
      </c>
      <c r="E717" t="s">
        <v>92</v>
      </c>
      <c r="F717">
        <f>+_xlfn.ISOWEEKNUM(export?format_csv_gid_612082435[[#This Row],[Fecha]])</f>
        <v>18</v>
      </c>
      <c r="G717">
        <f>+YEAR(export?format_csv_gid_612082435[[#This Row],[Fecha]])</f>
        <v>2026</v>
      </c>
      <c r="H717" t="str">
        <f>+VLOOKUP(export?format_csv_gid_612082435[[#This Row],[Valor]],Listas!A:B,2,FALSE)</f>
        <v>No Remunerado</v>
      </c>
    </row>
    <row r="718" spans="1:8" hidden="1" x14ac:dyDescent="0.3">
      <c r="A718" t="s">
        <v>72</v>
      </c>
      <c r="B718" t="s">
        <v>88</v>
      </c>
      <c r="C718" t="s">
        <v>97</v>
      </c>
      <c r="D718" s="19">
        <v>46146</v>
      </c>
      <c r="E718" t="s">
        <v>76</v>
      </c>
      <c r="F718">
        <f>+_xlfn.ISOWEEKNUM(export?format_csv_gid_612082435[[#This Row],[Fecha]])</f>
        <v>19</v>
      </c>
      <c r="G718">
        <f>+YEAR(export?format_csv_gid_612082435[[#This Row],[Fecha]])</f>
        <v>2026</v>
      </c>
      <c r="H718" t="str">
        <f>+VLOOKUP(export?format_csv_gid_612082435[[#This Row],[Valor]],Listas!A:B,2,FALSE)</f>
        <v>Asistencia</v>
      </c>
    </row>
    <row r="719" spans="1:8" hidden="1" x14ac:dyDescent="0.3">
      <c r="A719" t="s">
        <v>72</v>
      </c>
      <c r="B719" t="s">
        <v>88</v>
      </c>
      <c r="C719" t="s">
        <v>97</v>
      </c>
      <c r="D719" s="19">
        <v>46147</v>
      </c>
      <c r="E719" t="s">
        <v>76</v>
      </c>
      <c r="F719">
        <f>+_xlfn.ISOWEEKNUM(export?format_csv_gid_612082435[[#This Row],[Fecha]])</f>
        <v>19</v>
      </c>
      <c r="G719">
        <f>+YEAR(export?format_csv_gid_612082435[[#This Row],[Fecha]])</f>
        <v>2026</v>
      </c>
      <c r="H719" t="str">
        <f>+VLOOKUP(export?format_csv_gid_612082435[[#This Row],[Valor]],Listas!A:B,2,FALSE)</f>
        <v>Asistencia</v>
      </c>
    </row>
    <row r="720" spans="1:8" hidden="1" x14ac:dyDescent="0.3">
      <c r="A720" t="s">
        <v>72</v>
      </c>
      <c r="B720" t="s">
        <v>88</v>
      </c>
      <c r="C720" t="s">
        <v>97</v>
      </c>
      <c r="D720" s="19">
        <v>46148</v>
      </c>
      <c r="E720" t="s">
        <v>76</v>
      </c>
      <c r="F720">
        <f>+_xlfn.ISOWEEKNUM(export?format_csv_gid_612082435[[#This Row],[Fecha]])</f>
        <v>19</v>
      </c>
      <c r="G720">
        <f>+YEAR(export?format_csv_gid_612082435[[#This Row],[Fecha]])</f>
        <v>2026</v>
      </c>
      <c r="H720" t="str">
        <f>+VLOOKUP(export?format_csv_gid_612082435[[#This Row],[Valor]],Listas!A:B,2,FALSE)</f>
        <v>Asistencia</v>
      </c>
    </row>
    <row r="721" spans="1:11" hidden="1" x14ac:dyDescent="0.3">
      <c r="A721" t="s">
        <v>72</v>
      </c>
      <c r="B721" t="s">
        <v>88</v>
      </c>
      <c r="C721" t="s">
        <v>97</v>
      </c>
      <c r="D721" s="19">
        <v>46149</v>
      </c>
      <c r="E721" t="s">
        <v>76</v>
      </c>
      <c r="F721">
        <f>+_xlfn.ISOWEEKNUM(export?format_csv_gid_612082435[[#This Row],[Fecha]])</f>
        <v>19</v>
      </c>
      <c r="G721">
        <f>+YEAR(export?format_csv_gid_612082435[[#This Row],[Fecha]])</f>
        <v>2026</v>
      </c>
      <c r="H721" t="str">
        <f>+VLOOKUP(export?format_csv_gid_612082435[[#This Row],[Valor]],Listas!A:B,2,FALSE)</f>
        <v>Asistencia</v>
      </c>
    </row>
    <row r="722" spans="1:11" hidden="1" x14ac:dyDescent="0.3">
      <c r="A722" t="s">
        <v>72</v>
      </c>
      <c r="B722" t="s">
        <v>88</v>
      </c>
      <c r="C722" t="s">
        <v>97</v>
      </c>
      <c r="D722" s="19">
        <v>46150</v>
      </c>
      <c r="E722" t="s">
        <v>76</v>
      </c>
      <c r="F722">
        <f>+_xlfn.ISOWEEKNUM(export?format_csv_gid_612082435[[#This Row],[Fecha]])</f>
        <v>19</v>
      </c>
      <c r="G722">
        <f>+YEAR(export?format_csv_gid_612082435[[#This Row],[Fecha]])</f>
        <v>2026</v>
      </c>
      <c r="H722" t="str">
        <f>+VLOOKUP(export?format_csv_gid_612082435[[#This Row],[Valor]],Listas!A:B,2,FALSE)</f>
        <v>Asistencia</v>
      </c>
    </row>
    <row r="723" spans="1:11" hidden="1" x14ac:dyDescent="0.3">
      <c r="A723" t="s">
        <v>72</v>
      </c>
      <c r="B723" t="s">
        <v>88</v>
      </c>
      <c r="C723" t="s">
        <v>97</v>
      </c>
      <c r="D723" s="19">
        <v>46151</v>
      </c>
      <c r="E723" t="s">
        <v>76</v>
      </c>
      <c r="F723">
        <f>+_xlfn.ISOWEEKNUM(export?format_csv_gid_612082435[[#This Row],[Fecha]])</f>
        <v>19</v>
      </c>
      <c r="G723">
        <f>+YEAR(export?format_csv_gid_612082435[[#This Row],[Fecha]])</f>
        <v>2026</v>
      </c>
      <c r="H723" t="str">
        <f>+VLOOKUP(export?format_csv_gid_612082435[[#This Row],[Valor]],Listas!A:B,2,FALSE)</f>
        <v>Asistencia</v>
      </c>
    </row>
    <row r="724" spans="1:11" hidden="1" x14ac:dyDescent="0.3">
      <c r="A724" t="s">
        <v>72</v>
      </c>
      <c r="B724" t="s">
        <v>88</v>
      </c>
      <c r="C724" t="s">
        <v>97</v>
      </c>
      <c r="D724" s="19">
        <v>46152</v>
      </c>
      <c r="E724" t="s">
        <v>113</v>
      </c>
      <c r="F724">
        <f>+_xlfn.ISOWEEKNUM(export?format_csv_gid_612082435[[#This Row],[Fecha]])</f>
        <v>19</v>
      </c>
      <c r="G724">
        <f>+YEAR(export?format_csv_gid_612082435[[#This Row],[Fecha]])</f>
        <v>2026</v>
      </c>
      <c r="H724" t="str">
        <f>+VLOOKUP(export?format_csv_gid_612082435[[#This Row],[Valor]],Listas!A:B,2,FALSE)</f>
        <v>D. Remunerado</v>
      </c>
      <c r="K724" s="19"/>
    </row>
    <row r="725" spans="1:11" hidden="1" x14ac:dyDescent="0.3">
      <c r="A725" t="s">
        <v>72</v>
      </c>
      <c r="B725" t="s">
        <v>88</v>
      </c>
      <c r="C725" t="s">
        <v>97</v>
      </c>
      <c r="D725" s="19">
        <v>46153</v>
      </c>
      <c r="E725" t="s">
        <v>76</v>
      </c>
      <c r="F725">
        <f>+_xlfn.ISOWEEKNUM(export?format_csv_gid_612082435[[#This Row],[Fecha]])</f>
        <v>20</v>
      </c>
      <c r="G725">
        <f>+YEAR(export?format_csv_gid_612082435[[#This Row],[Fecha]])</f>
        <v>2026</v>
      </c>
      <c r="H725" t="str">
        <f>+VLOOKUP(export?format_csv_gid_612082435[[#This Row],[Valor]],Listas!A:B,2,FALSE)</f>
        <v>Asistencia</v>
      </c>
    </row>
    <row r="726" spans="1:11" hidden="1" x14ac:dyDescent="0.3">
      <c r="A726" t="s">
        <v>72</v>
      </c>
      <c r="B726" t="s">
        <v>88</v>
      </c>
      <c r="C726" t="s">
        <v>97</v>
      </c>
      <c r="D726" s="19">
        <v>46154</v>
      </c>
      <c r="E726" t="s">
        <v>76</v>
      </c>
      <c r="F726">
        <f>+_xlfn.ISOWEEKNUM(export?format_csv_gid_612082435[[#This Row],[Fecha]])</f>
        <v>20</v>
      </c>
      <c r="G726">
        <f>+YEAR(export?format_csv_gid_612082435[[#This Row],[Fecha]])</f>
        <v>2026</v>
      </c>
      <c r="H726" t="str">
        <f>+VLOOKUP(export?format_csv_gid_612082435[[#This Row],[Valor]],Listas!A:B,2,FALSE)</f>
        <v>Asistencia</v>
      </c>
    </row>
    <row r="727" spans="1:11" hidden="1" x14ac:dyDescent="0.3">
      <c r="A727" t="s">
        <v>72</v>
      </c>
      <c r="B727" t="s">
        <v>88</v>
      </c>
      <c r="C727" t="s">
        <v>97</v>
      </c>
      <c r="D727" s="19">
        <v>46155</v>
      </c>
      <c r="E727" t="s">
        <v>76</v>
      </c>
      <c r="F727">
        <f>+_xlfn.ISOWEEKNUM(export?format_csv_gid_612082435[[#This Row],[Fecha]])</f>
        <v>20</v>
      </c>
      <c r="G727">
        <f>+YEAR(export?format_csv_gid_612082435[[#This Row],[Fecha]])</f>
        <v>2026</v>
      </c>
      <c r="H727" t="str">
        <f>+VLOOKUP(export?format_csv_gid_612082435[[#This Row],[Valor]],Listas!A:B,2,FALSE)</f>
        <v>Asistencia</v>
      </c>
    </row>
    <row r="728" spans="1:11" hidden="1" x14ac:dyDescent="0.3">
      <c r="A728" t="s">
        <v>72</v>
      </c>
      <c r="B728" t="s">
        <v>88</v>
      </c>
      <c r="C728" t="s">
        <v>97</v>
      </c>
      <c r="D728" s="19">
        <v>46156</v>
      </c>
      <c r="E728" t="s">
        <v>76</v>
      </c>
      <c r="F728">
        <f>+_xlfn.ISOWEEKNUM(export?format_csv_gid_612082435[[#This Row],[Fecha]])</f>
        <v>20</v>
      </c>
      <c r="G728">
        <f>+YEAR(export?format_csv_gid_612082435[[#This Row],[Fecha]])</f>
        <v>2026</v>
      </c>
      <c r="H728" t="str">
        <f>+VLOOKUP(export?format_csv_gid_612082435[[#This Row],[Valor]],Listas!A:B,2,FALSE)</f>
        <v>Asistencia</v>
      </c>
    </row>
    <row r="729" spans="1:11" hidden="1" x14ac:dyDescent="0.3">
      <c r="A729" t="s">
        <v>72</v>
      </c>
      <c r="B729" t="s">
        <v>88</v>
      </c>
      <c r="C729" t="s">
        <v>97</v>
      </c>
      <c r="D729" s="19">
        <v>46157</v>
      </c>
      <c r="E729" t="s">
        <v>75</v>
      </c>
      <c r="F729">
        <f>+_xlfn.ISOWEEKNUM(export?format_csv_gid_612082435[[#This Row],[Fecha]])</f>
        <v>20</v>
      </c>
      <c r="G729">
        <f>+YEAR(export?format_csv_gid_612082435[[#This Row],[Fecha]])</f>
        <v>2026</v>
      </c>
      <c r="H729" t="str">
        <f>+VLOOKUP(export?format_csv_gid_612082435[[#This Row],[Valor]],Listas!A:B,2,FALSE)</f>
        <v>No Remunerado</v>
      </c>
    </row>
    <row r="730" spans="1:11" hidden="1" x14ac:dyDescent="0.3">
      <c r="A730" t="s">
        <v>72</v>
      </c>
      <c r="B730" t="s">
        <v>88</v>
      </c>
      <c r="C730" t="s">
        <v>97</v>
      </c>
      <c r="D730" s="19">
        <v>46158</v>
      </c>
      <c r="E730" t="s">
        <v>77</v>
      </c>
      <c r="F730">
        <f>+_xlfn.ISOWEEKNUM(export?format_csv_gid_612082435[[#This Row],[Fecha]])</f>
        <v>20</v>
      </c>
      <c r="G730">
        <f>+YEAR(export?format_csv_gid_612082435[[#This Row],[Fecha]])</f>
        <v>2026</v>
      </c>
      <c r="H730" t="e">
        <f>+VLOOKUP(export?format_csv_gid_612082435[[#This Row],[Valor]],Listas!A:B,2,FALSE)</f>
        <v>#N/A</v>
      </c>
    </row>
    <row r="731" spans="1:11" hidden="1" x14ac:dyDescent="0.3">
      <c r="A731" t="s">
        <v>72</v>
      </c>
      <c r="B731" t="s">
        <v>88</v>
      </c>
      <c r="C731" t="s">
        <v>97</v>
      </c>
      <c r="D731" s="19">
        <v>46159</v>
      </c>
      <c r="E731" t="s">
        <v>77</v>
      </c>
      <c r="F731">
        <f>+_xlfn.ISOWEEKNUM(export?format_csv_gid_612082435[[#This Row],[Fecha]])</f>
        <v>20</v>
      </c>
      <c r="G731">
        <f>+YEAR(export?format_csv_gid_612082435[[#This Row],[Fecha]])</f>
        <v>2026</v>
      </c>
      <c r="H731" t="e">
        <f>+VLOOKUP(export?format_csv_gid_612082435[[#This Row],[Valor]],Listas!A:B,2,FALSE)</f>
        <v>#N/A</v>
      </c>
    </row>
    <row r="732" spans="1:11" hidden="1" x14ac:dyDescent="0.3">
      <c r="A732" t="s">
        <v>72</v>
      </c>
      <c r="B732" t="s">
        <v>88</v>
      </c>
      <c r="C732" t="s">
        <v>97</v>
      </c>
      <c r="D732" s="19">
        <v>46160</v>
      </c>
      <c r="E732" t="s">
        <v>77</v>
      </c>
      <c r="F732">
        <f>+_xlfn.ISOWEEKNUM(export?format_csv_gid_612082435[[#This Row],[Fecha]])</f>
        <v>21</v>
      </c>
      <c r="G732">
        <f>+YEAR(export?format_csv_gid_612082435[[#This Row],[Fecha]])</f>
        <v>2026</v>
      </c>
      <c r="H732" t="e">
        <f>+VLOOKUP(export?format_csv_gid_612082435[[#This Row],[Valor]],Listas!A:B,2,FALSE)</f>
        <v>#N/A</v>
      </c>
    </row>
    <row r="733" spans="1:11" hidden="1" x14ac:dyDescent="0.3">
      <c r="A733" t="s">
        <v>72</v>
      </c>
      <c r="B733" t="s">
        <v>88</v>
      </c>
      <c r="C733" t="s">
        <v>97</v>
      </c>
      <c r="D733" s="19">
        <v>46161</v>
      </c>
      <c r="E733" t="s">
        <v>77</v>
      </c>
      <c r="F733">
        <f>+_xlfn.ISOWEEKNUM(export?format_csv_gid_612082435[[#This Row],[Fecha]])</f>
        <v>21</v>
      </c>
      <c r="G733">
        <f>+YEAR(export?format_csv_gid_612082435[[#This Row],[Fecha]])</f>
        <v>2026</v>
      </c>
      <c r="H733" t="e">
        <f>+VLOOKUP(export?format_csv_gid_612082435[[#This Row],[Valor]],Listas!A:B,2,FALSE)</f>
        <v>#N/A</v>
      </c>
    </row>
    <row r="734" spans="1:11" hidden="1" x14ac:dyDescent="0.3">
      <c r="A734" t="s">
        <v>72</v>
      </c>
      <c r="B734" t="s">
        <v>88</v>
      </c>
      <c r="C734" t="s">
        <v>97</v>
      </c>
      <c r="D734" s="19">
        <v>46162</v>
      </c>
      <c r="E734" t="s">
        <v>77</v>
      </c>
      <c r="F734">
        <f>+_xlfn.ISOWEEKNUM(export?format_csv_gid_612082435[[#This Row],[Fecha]])</f>
        <v>21</v>
      </c>
      <c r="G734">
        <f>+YEAR(export?format_csv_gid_612082435[[#This Row],[Fecha]])</f>
        <v>2026</v>
      </c>
      <c r="H734" t="e">
        <f>+VLOOKUP(export?format_csv_gid_612082435[[#This Row],[Valor]],Listas!A:B,2,FALSE)</f>
        <v>#N/A</v>
      </c>
    </row>
    <row r="735" spans="1:11" hidden="1" x14ac:dyDescent="0.3">
      <c r="A735" t="s">
        <v>72</v>
      </c>
      <c r="B735" t="s">
        <v>88</v>
      </c>
      <c r="C735" t="s">
        <v>97</v>
      </c>
      <c r="D735" s="19">
        <v>46163</v>
      </c>
      <c r="E735" t="s">
        <v>77</v>
      </c>
      <c r="F735">
        <f>+_xlfn.ISOWEEKNUM(export?format_csv_gid_612082435[[#This Row],[Fecha]])</f>
        <v>21</v>
      </c>
      <c r="G735">
        <f>+YEAR(export?format_csv_gid_612082435[[#This Row],[Fecha]])</f>
        <v>2026</v>
      </c>
      <c r="H735" t="e">
        <f>+VLOOKUP(export?format_csv_gid_612082435[[#This Row],[Valor]],Listas!A:B,2,FALSE)</f>
        <v>#N/A</v>
      </c>
    </row>
    <row r="736" spans="1:11" hidden="1" x14ac:dyDescent="0.3">
      <c r="A736" t="s">
        <v>72</v>
      </c>
      <c r="B736" t="s">
        <v>88</v>
      </c>
      <c r="C736" t="s">
        <v>97</v>
      </c>
      <c r="D736" s="19">
        <v>46164</v>
      </c>
      <c r="E736" t="s">
        <v>77</v>
      </c>
      <c r="F736">
        <f>+_xlfn.ISOWEEKNUM(export?format_csv_gid_612082435[[#This Row],[Fecha]])</f>
        <v>21</v>
      </c>
      <c r="G736">
        <f>+YEAR(export?format_csv_gid_612082435[[#This Row],[Fecha]])</f>
        <v>2026</v>
      </c>
      <c r="H736" t="e">
        <f>+VLOOKUP(export?format_csv_gid_612082435[[#This Row],[Valor]],Listas!A:B,2,FALSE)</f>
        <v>#N/A</v>
      </c>
    </row>
    <row r="737" spans="1:8" hidden="1" x14ac:dyDescent="0.3">
      <c r="A737" t="s">
        <v>72</v>
      </c>
      <c r="B737" t="s">
        <v>88</v>
      </c>
      <c r="C737" t="s">
        <v>97</v>
      </c>
      <c r="D737" s="19">
        <v>46165</v>
      </c>
      <c r="E737" t="s">
        <v>77</v>
      </c>
      <c r="F737">
        <f>+_xlfn.ISOWEEKNUM(export?format_csv_gid_612082435[[#This Row],[Fecha]])</f>
        <v>21</v>
      </c>
      <c r="G737">
        <f>+YEAR(export?format_csv_gid_612082435[[#This Row],[Fecha]])</f>
        <v>2026</v>
      </c>
      <c r="H737" t="e">
        <f>+VLOOKUP(export?format_csv_gid_612082435[[#This Row],[Valor]],Listas!A:B,2,FALSE)</f>
        <v>#N/A</v>
      </c>
    </row>
    <row r="738" spans="1:8" hidden="1" x14ac:dyDescent="0.3">
      <c r="A738" t="s">
        <v>72</v>
      </c>
      <c r="B738" t="s">
        <v>88</v>
      </c>
      <c r="C738" t="s">
        <v>97</v>
      </c>
      <c r="D738" s="19">
        <v>46166</v>
      </c>
      <c r="E738" t="s">
        <v>77</v>
      </c>
      <c r="F738">
        <f>+_xlfn.ISOWEEKNUM(export?format_csv_gid_612082435[[#This Row],[Fecha]])</f>
        <v>21</v>
      </c>
      <c r="G738">
        <f>+YEAR(export?format_csv_gid_612082435[[#This Row],[Fecha]])</f>
        <v>2026</v>
      </c>
      <c r="H738" t="e">
        <f>+VLOOKUP(export?format_csv_gid_612082435[[#This Row],[Valor]],Listas!A:B,2,FALSE)</f>
        <v>#N/A</v>
      </c>
    </row>
    <row r="739" spans="1:8" hidden="1" x14ac:dyDescent="0.3">
      <c r="A739" t="s">
        <v>72</v>
      </c>
      <c r="B739" t="s">
        <v>88</v>
      </c>
      <c r="C739" t="s">
        <v>97</v>
      </c>
      <c r="D739" s="19">
        <v>46167</v>
      </c>
      <c r="E739" t="s">
        <v>77</v>
      </c>
      <c r="F739">
        <f>+_xlfn.ISOWEEKNUM(export?format_csv_gid_612082435[[#This Row],[Fecha]])</f>
        <v>22</v>
      </c>
      <c r="G739">
        <f>+YEAR(export?format_csv_gid_612082435[[#This Row],[Fecha]])</f>
        <v>2026</v>
      </c>
      <c r="H739" t="e">
        <f>+VLOOKUP(export?format_csv_gid_612082435[[#This Row],[Valor]],Listas!A:B,2,FALSE)</f>
        <v>#N/A</v>
      </c>
    </row>
    <row r="740" spans="1:8" hidden="1" x14ac:dyDescent="0.3">
      <c r="A740" t="s">
        <v>72</v>
      </c>
      <c r="B740" t="s">
        <v>88</v>
      </c>
      <c r="C740" t="s">
        <v>97</v>
      </c>
      <c r="D740" s="19">
        <v>46168</v>
      </c>
      <c r="E740" t="s">
        <v>77</v>
      </c>
      <c r="F740">
        <f>+_xlfn.ISOWEEKNUM(export?format_csv_gid_612082435[[#This Row],[Fecha]])</f>
        <v>22</v>
      </c>
      <c r="G740">
        <f>+YEAR(export?format_csv_gid_612082435[[#This Row],[Fecha]])</f>
        <v>2026</v>
      </c>
      <c r="H740" t="e">
        <f>+VLOOKUP(export?format_csv_gid_612082435[[#This Row],[Valor]],Listas!A:B,2,FALSE)</f>
        <v>#N/A</v>
      </c>
    </row>
    <row r="741" spans="1:8" hidden="1" x14ac:dyDescent="0.3">
      <c r="A741" t="s">
        <v>72</v>
      </c>
      <c r="B741" t="s">
        <v>88</v>
      </c>
      <c r="C741" t="s">
        <v>97</v>
      </c>
      <c r="D741" s="19">
        <v>46169</v>
      </c>
      <c r="E741" t="s">
        <v>77</v>
      </c>
      <c r="F741">
        <f>+_xlfn.ISOWEEKNUM(export?format_csv_gid_612082435[[#This Row],[Fecha]])</f>
        <v>22</v>
      </c>
      <c r="G741">
        <f>+YEAR(export?format_csv_gid_612082435[[#This Row],[Fecha]])</f>
        <v>2026</v>
      </c>
      <c r="H741" t="e">
        <f>+VLOOKUP(export?format_csv_gid_612082435[[#This Row],[Valor]],Listas!A:B,2,FALSE)</f>
        <v>#N/A</v>
      </c>
    </row>
    <row r="742" spans="1:8" hidden="1" x14ac:dyDescent="0.3">
      <c r="A742" t="s">
        <v>72</v>
      </c>
      <c r="B742" t="s">
        <v>88</v>
      </c>
      <c r="C742" t="s">
        <v>97</v>
      </c>
      <c r="D742" s="19">
        <v>46170</v>
      </c>
      <c r="E742" t="s">
        <v>77</v>
      </c>
      <c r="F742">
        <f>+_xlfn.ISOWEEKNUM(export?format_csv_gid_612082435[[#This Row],[Fecha]])</f>
        <v>22</v>
      </c>
      <c r="G742">
        <f>+YEAR(export?format_csv_gid_612082435[[#This Row],[Fecha]])</f>
        <v>2026</v>
      </c>
      <c r="H742" t="e">
        <f>+VLOOKUP(export?format_csv_gid_612082435[[#This Row],[Valor]],Listas!A:B,2,FALSE)</f>
        <v>#N/A</v>
      </c>
    </row>
    <row r="743" spans="1:8" hidden="1" x14ac:dyDescent="0.3">
      <c r="A743" t="s">
        <v>72</v>
      </c>
      <c r="B743" t="s">
        <v>88</v>
      </c>
      <c r="C743" t="s">
        <v>97</v>
      </c>
      <c r="D743" s="19">
        <v>46171</v>
      </c>
      <c r="E743" t="s">
        <v>77</v>
      </c>
      <c r="F743">
        <f>+_xlfn.ISOWEEKNUM(export?format_csv_gid_612082435[[#This Row],[Fecha]])</f>
        <v>22</v>
      </c>
      <c r="G743">
        <f>+YEAR(export?format_csv_gid_612082435[[#This Row],[Fecha]])</f>
        <v>2026</v>
      </c>
      <c r="H743" t="e">
        <f>+VLOOKUP(export?format_csv_gid_612082435[[#This Row],[Valor]],Listas!A:B,2,FALSE)</f>
        <v>#N/A</v>
      </c>
    </row>
    <row r="744" spans="1:8" hidden="1" x14ac:dyDescent="0.3">
      <c r="A744" t="s">
        <v>72</v>
      </c>
      <c r="B744" t="s">
        <v>88</v>
      </c>
      <c r="C744" t="s">
        <v>97</v>
      </c>
      <c r="D744" s="19">
        <v>46172</v>
      </c>
      <c r="E744" t="s">
        <v>77</v>
      </c>
      <c r="F744">
        <f>+_xlfn.ISOWEEKNUM(export?format_csv_gid_612082435[[#This Row],[Fecha]])</f>
        <v>22</v>
      </c>
      <c r="G744">
        <f>+YEAR(export?format_csv_gid_612082435[[#This Row],[Fecha]])</f>
        <v>2026</v>
      </c>
      <c r="H744" t="e">
        <f>+VLOOKUP(export?format_csv_gid_612082435[[#This Row],[Valor]],Listas!A:B,2,FALSE)</f>
        <v>#N/A</v>
      </c>
    </row>
    <row r="745" spans="1:8" hidden="1" x14ac:dyDescent="0.3">
      <c r="A745" t="s">
        <v>72</v>
      </c>
      <c r="B745" t="s">
        <v>88</v>
      </c>
      <c r="C745" t="s">
        <v>97</v>
      </c>
      <c r="D745" s="19">
        <v>46173</v>
      </c>
      <c r="E745" t="s">
        <v>77</v>
      </c>
      <c r="F745">
        <f>+_xlfn.ISOWEEKNUM(export?format_csv_gid_612082435[[#This Row],[Fecha]])</f>
        <v>22</v>
      </c>
      <c r="G745">
        <f>+YEAR(export?format_csv_gid_612082435[[#This Row],[Fecha]])</f>
        <v>2026</v>
      </c>
      <c r="H745" t="e">
        <f>+VLOOKUP(export?format_csv_gid_612082435[[#This Row],[Valor]],Listas!A:B,2,FALSE)</f>
        <v>#N/A</v>
      </c>
    </row>
    <row r="746" spans="1:8" hidden="1" x14ac:dyDescent="0.3">
      <c r="A746" t="s">
        <v>83</v>
      </c>
      <c r="B746" t="s">
        <v>98</v>
      </c>
      <c r="C746" t="s">
        <v>155</v>
      </c>
      <c r="D746" s="19">
        <v>46143</v>
      </c>
      <c r="E746" t="s">
        <v>85</v>
      </c>
      <c r="F746">
        <f>+_xlfn.ISOWEEKNUM(export?format_csv_gid_612082435[[#This Row],[Fecha]])</f>
        <v>18</v>
      </c>
      <c r="G746">
        <f>+YEAR(export?format_csv_gid_612082435[[#This Row],[Fecha]])</f>
        <v>2026</v>
      </c>
      <c r="H746" t="e">
        <f>+VLOOKUP(export?format_csv_gid_612082435[[#This Row],[Valor]],Listas!A:B,2,FALSE)</f>
        <v>#N/A</v>
      </c>
    </row>
    <row r="747" spans="1:8" hidden="1" x14ac:dyDescent="0.3">
      <c r="A747" t="s">
        <v>83</v>
      </c>
      <c r="B747" t="s">
        <v>98</v>
      </c>
      <c r="C747" t="s">
        <v>155</v>
      </c>
      <c r="D747" s="19">
        <v>46144</v>
      </c>
      <c r="E747" t="s">
        <v>85</v>
      </c>
      <c r="F747">
        <f>+_xlfn.ISOWEEKNUM(export?format_csv_gid_612082435[[#This Row],[Fecha]])</f>
        <v>18</v>
      </c>
      <c r="G747">
        <f>+YEAR(export?format_csv_gid_612082435[[#This Row],[Fecha]])</f>
        <v>2026</v>
      </c>
      <c r="H747" t="e">
        <f>+VLOOKUP(export?format_csv_gid_612082435[[#This Row],[Valor]],Listas!A:B,2,FALSE)</f>
        <v>#N/A</v>
      </c>
    </row>
    <row r="748" spans="1:8" hidden="1" x14ac:dyDescent="0.3">
      <c r="A748" t="s">
        <v>83</v>
      </c>
      <c r="B748" t="s">
        <v>98</v>
      </c>
      <c r="C748" t="s">
        <v>155</v>
      </c>
      <c r="D748" s="19">
        <v>46145</v>
      </c>
      <c r="E748" t="s">
        <v>85</v>
      </c>
      <c r="F748">
        <f>+_xlfn.ISOWEEKNUM(export?format_csv_gid_612082435[[#This Row],[Fecha]])</f>
        <v>18</v>
      </c>
      <c r="G748">
        <f>+YEAR(export?format_csv_gid_612082435[[#This Row],[Fecha]])</f>
        <v>2026</v>
      </c>
      <c r="H748" t="e">
        <f>+VLOOKUP(export?format_csv_gid_612082435[[#This Row],[Valor]],Listas!A:B,2,FALSE)</f>
        <v>#N/A</v>
      </c>
    </row>
    <row r="749" spans="1:8" hidden="1" x14ac:dyDescent="0.3">
      <c r="A749" t="s">
        <v>83</v>
      </c>
      <c r="B749" t="s">
        <v>98</v>
      </c>
      <c r="C749" t="s">
        <v>155</v>
      </c>
      <c r="D749" s="19">
        <v>46146</v>
      </c>
      <c r="E749" t="s">
        <v>85</v>
      </c>
      <c r="F749">
        <f>+_xlfn.ISOWEEKNUM(export?format_csv_gid_612082435[[#This Row],[Fecha]])</f>
        <v>19</v>
      </c>
      <c r="G749">
        <f>+YEAR(export?format_csv_gid_612082435[[#This Row],[Fecha]])</f>
        <v>2026</v>
      </c>
      <c r="H749" t="e">
        <f>+VLOOKUP(export?format_csv_gid_612082435[[#This Row],[Valor]],Listas!A:B,2,FALSE)</f>
        <v>#N/A</v>
      </c>
    </row>
    <row r="750" spans="1:8" hidden="1" x14ac:dyDescent="0.3">
      <c r="A750" t="s">
        <v>83</v>
      </c>
      <c r="B750" t="s">
        <v>98</v>
      </c>
      <c r="C750" t="s">
        <v>155</v>
      </c>
      <c r="D750" s="19">
        <v>46147</v>
      </c>
      <c r="E750" t="s">
        <v>85</v>
      </c>
      <c r="F750">
        <f>+_xlfn.ISOWEEKNUM(export?format_csv_gid_612082435[[#This Row],[Fecha]])</f>
        <v>19</v>
      </c>
      <c r="G750">
        <f>+YEAR(export?format_csv_gid_612082435[[#This Row],[Fecha]])</f>
        <v>2026</v>
      </c>
      <c r="H750" t="e">
        <f>+VLOOKUP(export?format_csv_gid_612082435[[#This Row],[Valor]],Listas!A:B,2,FALSE)</f>
        <v>#N/A</v>
      </c>
    </row>
    <row r="751" spans="1:8" hidden="1" x14ac:dyDescent="0.3">
      <c r="A751" t="s">
        <v>83</v>
      </c>
      <c r="B751" t="s">
        <v>98</v>
      </c>
      <c r="C751" t="s">
        <v>155</v>
      </c>
      <c r="D751" s="19">
        <v>46148</v>
      </c>
      <c r="E751" t="s">
        <v>85</v>
      </c>
      <c r="F751">
        <f>+_xlfn.ISOWEEKNUM(export?format_csv_gid_612082435[[#This Row],[Fecha]])</f>
        <v>19</v>
      </c>
      <c r="G751">
        <f>+YEAR(export?format_csv_gid_612082435[[#This Row],[Fecha]])</f>
        <v>2026</v>
      </c>
      <c r="H751" t="e">
        <f>+VLOOKUP(export?format_csv_gid_612082435[[#This Row],[Valor]],Listas!A:B,2,FALSE)</f>
        <v>#N/A</v>
      </c>
    </row>
    <row r="752" spans="1:8" hidden="1" x14ac:dyDescent="0.3">
      <c r="A752" t="s">
        <v>83</v>
      </c>
      <c r="B752" t="s">
        <v>98</v>
      </c>
      <c r="C752" t="s">
        <v>155</v>
      </c>
      <c r="D752" s="19">
        <v>46149</v>
      </c>
      <c r="E752" t="s">
        <v>85</v>
      </c>
      <c r="F752">
        <f>+_xlfn.ISOWEEKNUM(export?format_csv_gid_612082435[[#This Row],[Fecha]])</f>
        <v>19</v>
      </c>
      <c r="G752">
        <f>+YEAR(export?format_csv_gid_612082435[[#This Row],[Fecha]])</f>
        <v>2026</v>
      </c>
      <c r="H752" t="e">
        <f>+VLOOKUP(export?format_csv_gid_612082435[[#This Row],[Valor]],Listas!A:B,2,FALSE)</f>
        <v>#N/A</v>
      </c>
    </row>
    <row r="753" spans="1:8" hidden="1" x14ac:dyDescent="0.3">
      <c r="A753" t="s">
        <v>83</v>
      </c>
      <c r="B753" t="s">
        <v>98</v>
      </c>
      <c r="C753" t="s">
        <v>155</v>
      </c>
      <c r="D753" s="19">
        <v>46150</v>
      </c>
      <c r="E753" t="s">
        <v>85</v>
      </c>
      <c r="F753">
        <f>+_xlfn.ISOWEEKNUM(export?format_csv_gid_612082435[[#This Row],[Fecha]])</f>
        <v>19</v>
      </c>
      <c r="G753">
        <f>+YEAR(export?format_csv_gid_612082435[[#This Row],[Fecha]])</f>
        <v>2026</v>
      </c>
      <c r="H753" t="e">
        <f>+VLOOKUP(export?format_csv_gid_612082435[[#This Row],[Valor]],Listas!A:B,2,FALSE)</f>
        <v>#N/A</v>
      </c>
    </row>
    <row r="754" spans="1:8" hidden="1" x14ac:dyDescent="0.3">
      <c r="A754" t="s">
        <v>83</v>
      </c>
      <c r="B754" t="s">
        <v>98</v>
      </c>
      <c r="C754" t="s">
        <v>155</v>
      </c>
      <c r="D754" s="19">
        <v>46151</v>
      </c>
      <c r="E754" t="s">
        <v>85</v>
      </c>
      <c r="F754">
        <f>+_xlfn.ISOWEEKNUM(export?format_csv_gid_612082435[[#This Row],[Fecha]])</f>
        <v>19</v>
      </c>
      <c r="G754">
        <f>+YEAR(export?format_csv_gid_612082435[[#This Row],[Fecha]])</f>
        <v>2026</v>
      </c>
      <c r="H754" t="e">
        <f>+VLOOKUP(export?format_csv_gid_612082435[[#This Row],[Valor]],Listas!A:B,2,FALSE)</f>
        <v>#N/A</v>
      </c>
    </row>
    <row r="755" spans="1:8" hidden="1" x14ac:dyDescent="0.3">
      <c r="A755" t="s">
        <v>83</v>
      </c>
      <c r="B755" t="s">
        <v>98</v>
      </c>
      <c r="C755" t="s">
        <v>155</v>
      </c>
      <c r="D755" s="19">
        <v>46152</v>
      </c>
      <c r="E755" t="s">
        <v>85</v>
      </c>
      <c r="F755">
        <f>+_xlfn.ISOWEEKNUM(export?format_csv_gid_612082435[[#This Row],[Fecha]])</f>
        <v>19</v>
      </c>
      <c r="G755">
        <f>+YEAR(export?format_csv_gid_612082435[[#This Row],[Fecha]])</f>
        <v>2026</v>
      </c>
      <c r="H755" t="e">
        <f>+VLOOKUP(export?format_csv_gid_612082435[[#This Row],[Valor]],Listas!A:B,2,FALSE)</f>
        <v>#N/A</v>
      </c>
    </row>
    <row r="756" spans="1:8" hidden="1" x14ac:dyDescent="0.3">
      <c r="A756" t="s">
        <v>83</v>
      </c>
      <c r="B756" t="s">
        <v>98</v>
      </c>
      <c r="C756" t="s">
        <v>155</v>
      </c>
      <c r="D756" s="19">
        <v>46153</v>
      </c>
      <c r="E756" t="s">
        <v>85</v>
      </c>
      <c r="F756">
        <f>+_xlfn.ISOWEEKNUM(export?format_csv_gid_612082435[[#This Row],[Fecha]])</f>
        <v>20</v>
      </c>
      <c r="G756">
        <f>+YEAR(export?format_csv_gid_612082435[[#This Row],[Fecha]])</f>
        <v>2026</v>
      </c>
      <c r="H756" t="e">
        <f>+VLOOKUP(export?format_csv_gid_612082435[[#This Row],[Valor]],Listas!A:B,2,FALSE)</f>
        <v>#N/A</v>
      </c>
    </row>
    <row r="757" spans="1:8" hidden="1" x14ac:dyDescent="0.3">
      <c r="A757" t="s">
        <v>83</v>
      </c>
      <c r="B757" t="s">
        <v>98</v>
      </c>
      <c r="C757" t="s">
        <v>155</v>
      </c>
      <c r="D757" s="19">
        <v>46154</v>
      </c>
      <c r="E757" t="s">
        <v>85</v>
      </c>
      <c r="F757">
        <f>+_xlfn.ISOWEEKNUM(export?format_csv_gid_612082435[[#This Row],[Fecha]])</f>
        <v>20</v>
      </c>
      <c r="G757">
        <f>+YEAR(export?format_csv_gid_612082435[[#This Row],[Fecha]])</f>
        <v>2026</v>
      </c>
      <c r="H757" t="e">
        <f>+VLOOKUP(export?format_csv_gid_612082435[[#This Row],[Valor]],Listas!A:B,2,FALSE)</f>
        <v>#N/A</v>
      </c>
    </row>
    <row r="758" spans="1:8" hidden="1" x14ac:dyDescent="0.3">
      <c r="A758" t="s">
        <v>83</v>
      </c>
      <c r="B758" t="s">
        <v>98</v>
      </c>
      <c r="C758" t="s">
        <v>155</v>
      </c>
      <c r="D758" s="19">
        <v>46155</v>
      </c>
      <c r="E758" t="s">
        <v>77</v>
      </c>
      <c r="F758">
        <f>+_xlfn.ISOWEEKNUM(export?format_csv_gid_612082435[[#This Row],[Fecha]])</f>
        <v>20</v>
      </c>
      <c r="G758">
        <f>+YEAR(export?format_csv_gid_612082435[[#This Row],[Fecha]])</f>
        <v>2026</v>
      </c>
      <c r="H758" t="e">
        <f>+VLOOKUP(export?format_csv_gid_612082435[[#This Row],[Valor]],Listas!A:B,2,FALSE)</f>
        <v>#N/A</v>
      </c>
    </row>
    <row r="759" spans="1:8" hidden="1" x14ac:dyDescent="0.3">
      <c r="A759" t="s">
        <v>83</v>
      </c>
      <c r="B759" t="s">
        <v>98</v>
      </c>
      <c r="C759" t="s">
        <v>155</v>
      </c>
      <c r="D759" s="19">
        <v>46156</v>
      </c>
      <c r="E759" t="s">
        <v>77</v>
      </c>
      <c r="F759">
        <f>+_xlfn.ISOWEEKNUM(export?format_csv_gid_612082435[[#This Row],[Fecha]])</f>
        <v>20</v>
      </c>
      <c r="G759">
        <f>+YEAR(export?format_csv_gid_612082435[[#This Row],[Fecha]])</f>
        <v>2026</v>
      </c>
      <c r="H759" t="e">
        <f>+VLOOKUP(export?format_csv_gid_612082435[[#This Row],[Valor]],Listas!A:B,2,FALSE)</f>
        <v>#N/A</v>
      </c>
    </row>
    <row r="760" spans="1:8" hidden="1" x14ac:dyDescent="0.3">
      <c r="A760" t="s">
        <v>83</v>
      </c>
      <c r="B760" t="s">
        <v>98</v>
      </c>
      <c r="C760" t="s">
        <v>155</v>
      </c>
      <c r="D760" s="19">
        <v>46157</v>
      </c>
      <c r="E760" t="s">
        <v>77</v>
      </c>
      <c r="F760">
        <f>+_xlfn.ISOWEEKNUM(export?format_csv_gid_612082435[[#This Row],[Fecha]])</f>
        <v>20</v>
      </c>
      <c r="G760">
        <f>+YEAR(export?format_csv_gid_612082435[[#This Row],[Fecha]])</f>
        <v>2026</v>
      </c>
      <c r="H760" t="e">
        <f>+VLOOKUP(export?format_csv_gid_612082435[[#This Row],[Valor]],Listas!A:B,2,FALSE)</f>
        <v>#N/A</v>
      </c>
    </row>
    <row r="761" spans="1:8" hidden="1" x14ac:dyDescent="0.3">
      <c r="A761" t="s">
        <v>83</v>
      </c>
      <c r="B761" t="s">
        <v>98</v>
      </c>
      <c r="C761" t="s">
        <v>155</v>
      </c>
      <c r="D761" s="19">
        <v>46158</v>
      </c>
      <c r="E761" t="s">
        <v>77</v>
      </c>
      <c r="F761">
        <f>+_xlfn.ISOWEEKNUM(export?format_csv_gid_612082435[[#This Row],[Fecha]])</f>
        <v>20</v>
      </c>
      <c r="G761">
        <f>+YEAR(export?format_csv_gid_612082435[[#This Row],[Fecha]])</f>
        <v>2026</v>
      </c>
      <c r="H761" t="e">
        <f>+VLOOKUP(export?format_csv_gid_612082435[[#This Row],[Valor]],Listas!A:B,2,FALSE)</f>
        <v>#N/A</v>
      </c>
    </row>
    <row r="762" spans="1:8" hidden="1" x14ac:dyDescent="0.3">
      <c r="A762" t="s">
        <v>83</v>
      </c>
      <c r="B762" t="s">
        <v>98</v>
      </c>
      <c r="C762" t="s">
        <v>155</v>
      </c>
      <c r="D762" s="19">
        <v>46159</v>
      </c>
      <c r="E762" t="s">
        <v>77</v>
      </c>
      <c r="F762">
        <f>+_xlfn.ISOWEEKNUM(export?format_csv_gid_612082435[[#This Row],[Fecha]])</f>
        <v>20</v>
      </c>
      <c r="G762">
        <f>+YEAR(export?format_csv_gid_612082435[[#This Row],[Fecha]])</f>
        <v>2026</v>
      </c>
      <c r="H762" t="e">
        <f>+VLOOKUP(export?format_csv_gid_612082435[[#This Row],[Valor]],Listas!A:B,2,FALSE)</f>
        <v>#N/A</v>
      </c>
    </row>
    <row r="763" spans="1:8" hidden="1" x14ac:dyDescent="0.3">
      <c r="A763" t="s">
        <v>83</v>
      </c>
      <c r="B763" t="s">
        <v>98</v>
      </c>
      <c r="C763" t="s">
        <v>155</v>
      </c>
      <c r="D763" s="19">
        <v>46160</v>
      </c>
      <c r="E763" t="s">
        <v>77</v>
      </c>
      <c r="F763">
        <f>+_xlfn.ISOWEEKNUM(export?format_csv_gid_612082435[[#This Row],[Fecha]])</f>
        <v>21</v>
      </c>
      <c r="G763">
        <f>+YEAR(export?format_csv_gid_612082435[[#This Row],[Fecha]])</f>
        <v>2026</v>
      </c>
      <c r="H763" t="e">
        <f>+VLOOKUP(export?format_csv_gid_612082435[[#This Row],[Valor]],Listas!A:B,2,FALSE)</f>
        <v>#N/A</v>
      </c>
    </row>
    <row r="764" spans="1:8" hidden="1" x14ac:dyDescent="0.3">
      <c r="A764" t="s">
        <v>83</v>
      </c>
      <c r="B764" t="s">
        <v>98</v>
      </c>
      <c r="C764" t="s">
        <v>155</v>
      </c>
      <c r="D764" s="19">
        <v>46161</v>
      </c>
      <c r="E764" t="s">
        <v>77</v>
      </c>
      <c r="F764">
        <f>+_xlfn.ISOWEEKNUM(export?format_csv_gid_612082435[[#This Row],[Fecha]])</f>
        <v>21</v>
      </c>
      <c r="G764">
        <f>+YEAR(export?format_csv_gid_612082435[[#This Row],[Fecha]])</f>
        <v>2026</v>
      </c>
      <c r="H764" t="e">
        <f>+VLOOKUP(export?format_csv_gid_612082435[[#This Row],[Valor]],Listas!A:B,2,FALSE)</f>
        <v>#N/A</v>
      </c>
    </row>
    <row r="765" spans="1:8" hidden="1" x14ac:dyDescent="0.3">
      <c r="A765" t="s">
        <v>83</v>
      </c>
      <c r="B765" t="s">
        <v>98</v>
      </c>
      <c r="C765" t="s">
        <v>155</v>
      </c>
      <c r="D765" s="19">
        <v>46162</v>
      </c>
      <c r="E765" t="s">
        <v>77</v>
      </c>
      <c r="F765">
        <f>+_xlfn.ISOWEEKNUM(export?format_csv_gid_612082435[[#This Row],[Fecha]])</f>
        <v>21</v>
      </c>
      <c r="G765">
        <f>+YEAR(export?format_csv_gid_612082435[[#This Row],[Fecha]])</f>
        <v>2026</v>
      </c>
      <c r="H765" t="e">
        <f>+VLOOKUP(export?format_csv_gid_612082435[[#This Row],[Valor]],Listas!A:B,2,FALSE)</f>
        <v>#N/A</v>
      </c>
    </row>
    <row r="766" spans="1:8" hidden="1" x14ac:dyDescent="0.3">
      <c r="A766" t="s">
        <v>83</v>
      </c>
      <c r="B766" t="s">
        <v>98</v>
      </c>
      <c r="C766" t="s">
        <v>155</v>
      </c>
      <c r="D766" s="19">
        <v>46163</v>
      </c>
      <c r="E766" t="s">
        <v>77</v>
      </c>
      <c r="F766">
        <f>+_xlfn.ISOWEEKNUM(export?format_csv_gid_612082435[[#This Row],[Fecha]])</f>
        <v>21</v>
      </c>
      <c r="G766">
        <f>+YEAR(export?format_csv_gid_612082435[[#This Row],[Fecha]])</f>
        <v>2026</v>
      </c>
      <c r="H766" t="e">
        <f>+VLOOKUP(export?format_csv_gid_612082435[[#This Row],[Valor]],Listas!A:B,2,FALSE)</f>
        <v>#N/A</v>
      </c>
    </row>
    <row r="767" spans="1:8" hidden="1" x14ac:dyDescent="0.3">
      <c r="A767" t="s">
        <v>83</v>
      </c>
      <c r="B767" t="s">
        <v>98</v>
      </c>
      <c r="C767" t="s">
        <v>155</v>
      </c>
      <c r="D767" s="19">
        <v>46164</v>
      </c>
      <c r="E767" t="s">
        <v>77</v>
      </c>
      <c r="F767">
        <f>+_xlfn.ISOWEEKNUM(export?format_csv_gid_612082435[[#This Row],[Fecha]])</f>
        <v>21</v>
      </c>
      <c r="G767">
        <f>+YEAR(export?format_csv_gid_612082435[[#This Row],[Fecha]])</f>
        <v>2026</v>
      </c>
      <c r="H767" t="e">
        <f>+VLOOKUP(export?format_csv_gid_612082435[[#This Row],[Valor]],Listas!A:B,2,FALSE)</f>
        <v>#N/A</v>
      </c>
    </row>
    <row r="768" spans="1:8" hidden="1" x14ac:dyDescent="0.3">
      <c r="A768" t="s">
        <v>83</v>
      </c>
      <c r="B768" t="s">
        <v>98</v>
      </c>
      <c r="C768" t="s">
        <v>155</v>
      </c>
      <c r="D768" s="19">
        <v>46165</v>
      </c>
      <c r="E768" t="s">
        <v>77</v>
      </c>
      <c r="F768">
        <f>+_xlfn.ISOWEEKNUM(export?format_csv_gid_612082435[[#This Row],[Fecha]])</f>
        <v>21</v>
      </c>
      <c r="G768">
        <f>+YEAR(export?format_csv_gid_612082435[[#This Row],[Fecha]])</f>
        <v>2026</v>
      </c>
      <c r="H768" t="e">
        <f>+VLOOKUP(export?format_csv_gid_612082435[[#This Row],[Valor]],Listas!A:B,2,FALSE)</f>
        <v>#N/A</v>
      </c>
    </row>
    <row r="769" spans="1:8" hidden="1" x14ac:dyDescent="0.3">
      <c r="A769" t="s">
        <v>83</v>
      </c>
      <c r="B769" t="s">
        <v>98</v>
      </c>
      <c r="C769" t="s">
        <v>155</v>
      </c>
      <c r="D769" s="19">
        <v>46166</v>
      </c>
      <c r="E769" t="s">
        <v>77</v>
      </c>
      <c r="F769">
        <f>+_xlfn.ISOWEEKNUM(export?format_csv_gid_612082435[[#This Row],[Fecha]])</f>
        <v>21</v>
      </c>
      <c r="G769">
        <f>+YEAR(export?format_csv_gid_612082435[[#This Row],[Fecha]])</f>
        <v>2026</v>
      </c>
      <c r="H769" t="e">
        <f>+VLOOKUP(export?format_csv_gid_612082435[[#This Row],[Valor]],Listas!A:B,2,FALSE)</f>
        <v>#N/A</v>
      </c>
    </row>
    <row r="770" spans="1:8" hidden="1" x14ac:dyDescent="0.3">
      <c r="A770" t="s">
        <v>83</v>
      </c>
      <c r="B770" t="s">
        <v>98</v>
      </c>
      <c r="C770" t="s">
        <v>155</v>
      </c>
      <c r="D770" s="19">
        <v>46167</v>
      </c>
      <c r="E770" t="s">
        <v>77</v>
      </c>
      <c r="F770">
        <f>+_xlfn.ISOWEEKNUM(export?format_csv_gid_612082435[[#This Row],[Fecha]])</f>
        <v>22</v>
      </c>
      <c r="G770">
        <f>+YEAR(export?format_csv_gid_612082435[[#This Row],[Fecha]])</f>
        <v>2026</v>
      </c>
      <c r="H770" t="e">
        <f>+VLOOKUP(export?format_csv_gid_612082435[[#This Row],[Valor]],Listas!A:B,2,FALSE)</f>
        <v>#N/A</v>
      </c>
    </row>
    <row r="771" spans="1:8" hidden="1" x14ac:dyDescent="0.3">
      <c r="A771" t="s">
        <v>83</v>
      </c>
      <c r="B771" t="s">
        <v>98</v>
      </c>
      <c r="C771" t="s">
        <v>155</v>
      </c>
      <c r="D771" s="19">
        <v>46168</v>
      </c>
      <c r="E771" t="s">
        <v>77</v>
      </c>
      <c r="F771">
        <f>+_xlfn.ISOWEEKNUM(export?format_csv_gid_612082435[[#This Row],[Fecha]])</f>
        <v>22</v>
      </c>
      <c r="G771">
        <f>+YEAR(export?format_csv_gid_612082435[[#This Row],[Fecha]])</f>
        <v>2026</v>
      </c>
      <c r="H771" t="e">
        <f>+VLOOKUP(export?format_csv_gid_612082435[[#This Row],[Valor]],Listas!A:B,2,FALSE)</f>
        <v>#N/A</v>
      </c>
    </row>
    <row r="772" spans="1:8" hidden="1" x14ac:dyDescent="0.3">
      <c r="A772" t="s">
        <v>83</v>
      </c>
      <c r="B772" t="s">
        <v>98</v>
      </c>
      <c r="C772" t="s">
        <v>155</v>
      </c>
      <c r="D772" s="19">
        <v>46169</v>
      </c>
      <c r="E772" t="s">
        <v>77</v>
      </c>
      <c r="F772">
        <f>+_xlfn.ISOWEEKNUM(export?format_csv_gid_612082435[[#This Row],[Fecha]])</f>
        <v>22</v>
      </c>
      <c r="G772">
        <f>+YEAR(export?format_csv_gid_612082435[[#This Row],[Fecha]])</f>
        <v>2026</v>
      </c>
      <c r="H772" t="e">
        <f>+VLOOKUP(export?format_csv_gid_612082435[[#This Row],[Valor]],Listas!A:B,2,FALSE)</f>
        <v>#N/A</v>
      </c>
    </row>
    <row r="773" spans="1:8" hidden="1" x14ac:dyDescent="0.3">
      <c r="A773" t="s">
        <v>83</v>
      </c>
      <c r="B773" t="s">
        <v>98</v>
      </c>
      <c r="C773" t="s">
        <v>155</v>
      </c>
      <c r="D773" s="19">
        <v>46170</v>
      </c>
      <c r="E773" t="s">
        <v>77</v>
      </c>
      <c r="F773">
        <f>+_xlfn.ISOWEEKNUM(export?format_csv_gid_612082435[[#This Row],[Fecha]])</f>
        <v>22</v>
      </c>
      <c r="G773">
        <f>+YEAR(export?format_csv_gid_612082435[[#This Row],[Fecha]])</f>
        <v>2026</v>
      </c>
      <c r="H773" t="e">
        <f>+VLOOKUP(export?format_csv_gid_612082435[[#This Row],[Valor]],Listas!A:B,2,FALSE)</f>
        <v>#N/A</v>
      </c>
    </row>
    <row r="774" spans="1:8" hidden="1" x14ac:dyDescent="0.3">
      <c r="A774" t="s">
        <v>83</v>
      </c>
      <c r="B774" t="s">
        <v>98</v>
      </c>
      <c r="C774" t="s">
        <v>155</v>
      </c>
      <c r="D774" s="19">
        <v>46171</v>
      </c>
      <c r="E774" t="s">
        <v>77</v>
      </c>
      <c r="F774">
        <f>+_xlfn.ISOWEEKNUM(export?format_csv_gid_612082435[[#This Row],[Fecha]])</f>
        <v>22</v>
      </c>
      <c r="G774">
        <f>+YEAR(export?format_csv_gid_612082435[[#This Row],[Fecha]])</f>
        <v>2026</v>
      </c>
      <c r="H774" t="e">
        <f>+VLOOKUP(export?format_csv_gid_612082435[[#This Row],[Valor]],Listas!A:B,2,FALSE)</f>
        <v>#N/A</v>
      </c>
    </row>
    <row r="775" spans="1:8" hidden="1" x14ac:dyDescent="0.3">
      <c r="A775" t="s">
        <v>83</v>
      </c>
      <c r="B775" t="s">
        <v>98</v>
      </c>
      <c r="C775" t="s">
        <v>155</v>
      </c>
      <c r="D775" s="19">
        <v>46172</v>
      </c>
      <c r="E775" t="s">
        <v>77</v>
      </c>
      <c r="F775">
        <f>+_xlfn.ISOWEEKNUM(export?format_csv_gid_612082435[[#This Row],[Fecha]])</f>
        <v>22</v>
      </c>
      <c r="G775">
        <f>+YEAR(export?format_csv_gid_612082435[[#This Row],[Fecha]])</f>
        <v>2026</v>
      </c>
      <c r="H775" t="e">
        <f>+VLOOKUP(export?format_csv_gid_612082435[[#This Row],[Valor]],Listas!A:B,2,FALSE)</f>
        <v>#N/A</v>
      </c>
    </row>
    <row r="776" spans="1:8" hidden="1" x14ac:dyDescent="0.3">
      <c r="A776" t="s">
        <v>83</v>
      </c>
      <c r="B776" t="s">
        <v>98</v>
      </c>
      <c r="C776" t="s">
        <v>155</v>
      </c>
      <c r="D776" s="19">
        <v>46173</v>
      </c>
      <c r="E776" t="s">
        <v>77</v>
      </c>
      <c r="F776">
        <f>+_xlfn.ISOWEEKNUM(export?format_csv_gid_612082435[[#This Row],[Fecha]])</f>
        <v>22</v>
      </c>
      <c r="G776">
        <f>+YEAR(export?format_csv_gid_612082435[[#This Row],[Fecha]])</f>
        <v>2026</v>
      </c>
      <c r="H776" t="e">
        <f>+VLOOKUP(export?format_csv_gid_612082435[[#This Row],[Valor]],Listas!A:B,2,FALSE)</f>
        <v>#N/A</v>
      </c>
    </row>
    <row r="777" spans="1:8" hidden="1" x14ac:dyDescent="0.3">
      <c r="A777" t="s">
        <v>83</v>
      </c>
      <c r="B777" t="s">
        <v>98</v>
      </c>
      <c r="C777" t="s">
        <v>156</v>
      </c>
      <c r="D777" s="19">
        <v>46143</v>
      </c>
      <c r="E777" t="s">
        <v>85</v>
      </c>
      <c r="F777">
        <f>+_xlfn.ISOWEEKNUM(export?format_csv_gid_612082435[[#This Row],[Fecha]])</f>
        <v>18</v>
      </c>
      <c r="G777">
        <f>+YEAR(export?format_csv_gid_612082435[[#This Row],[Fecha]])</f>
        <v>2026</v>
      </c>
      <c r="H777" t="e">
        <f>+VLOOKUP(export?format_csv_gid_612082435[[#This Row],[Valor]],Listas!A:B,2,FALSE)</f>
        <v>#N/A</v>
      </c>
    </row>
    <row r="778" spans="1:8" hidden="1" x14ac:dyDescent="0.3">
      <c r="A778" t="s">
        <v>83</v>
      </c>
      <c r="B778" t="s">
        <v>98</v>
      </c>
      <c r="C778" t="s">
        <v>156</v>
      </c>
      <c r="D778" s="19">
        <v>46144</v>
      </c>
      <c r="E778" t="s">
        <v>85</v>
      </c>
      <c r="F778">
        <f>+_xlfn.ISOWEEKNUM(export?format_csv_gid_612082435[[#This Row],[Fecha]])</f>
        <v>18</v>
      </c>
      <c r="G778">
        <f>+YEAR(export?format_csv_gid_612082435[[#This Row],[Fecha]])</f>
        <v>2026</v>
      </c>
      <c r="H778" t="e">
        <f>+VLOOKUP(export?format_csv_gid_612082435[[#This Row],[Valor]],Listas!A:B,2,FALSE)</f>
        <v>#N/A</v>
      </c>
    </row>
    <row r="779" spans="1:8" hidden="1" x14ac:dyDescent="0.3">
      <c r="A779" t="s">
        <v>83</v>
      </c>
      <c r="B779" t="s">
        <v>98</v>
      </c>
      <c r="C779" t="s">
        <v>156</v>
      </c>
      <c r="D779" s="19">
        <v>46145</v>
      </c>
      <c r="E779" t="s">
        <v>85</v>
      </c>
      <c r="F779">
        <f>+_xlfn.ISOWEEKNUM(export?format_csv_gid_612082435[[#This Row],[Fecha]])</f>
        <v>18</v>
      </c>
      <c r="G779">
        <f>+YEAR(export?format_csv_gid_612082435[[#This Row],[Fecha]])</f>
        <v>2026</v>
      </c>
      <c r="H779" t="e">
        <f>+VLOOKUP(export?format_csv_gid_612082435[[#This Row],[Valor]],Listas!A:B,2,FALSE)</f>
        <v>#N/A</v>
      </c>
    </row>
    <row r="780" spans="1:8" hidden="1" x14ac:dyDescent="0.3">
      <c r="A780" t="s">
        <v>83</v>
      </c>
      <c r="B780" t="s">
        <v>98</v>
      </c>
      <c r="C780" t="s">
        <v>156</v>
      </c>
      <c r="D780" s="19">
        <v>46146</v>
      </c>
      <c r="E780" t="s">
        <v>85</v>
      </c>
      <c r="F780">
        <f>+_xlfn.ISOWEEKNUM(export?format_csv_gid_612082435[[#This Row],[Fecha]])</f>
        <v>19</v>
      </c>
      <c r="G780">
        <f>+YEAR(export?format_csv_gid_612082435[[#This Row],[Fecha]])</f>
        <v>2026</v>
      </c>
      <c r="H780" t="e">
        <f>+VLOOKUP(export?format_csv_gid_612082435[[#This Row],[Valor]],Listas!A:B,2,FALSE)</f>
        <v>#N/A</v>
      </c>
    </row>
    <row r="781" spans="1:8" hidden="1" x14ac:dyDescent="0.3">
      <c r="A781" t="s">
        <v>83</v>
      </c>
      <c r="B781" t="s">
        <v>98</v>
      </c>
      <c r="C781" t="s">
        <v>156</v>
      </c>
      <c r="D781" s="19">
        <v>46147</v>
      </c>
      <c r="E781" t="s">
        <v>85</v>
      </c>
      <c r="F781">
        <f>+_xlfn.ISOWEEKNUM(export?format_csv_gid_612082435[[#This Row],[Fecha]])</f>
        <v>19</v>
      </c>
      <c r="G781">
        <f>+YEAR(export?format_csv_gid_612082435[[#This Row],[Fecha]])</f>
        <v>2026</v>
      </c>
      <c r="H781" t="e">
        <f>+VLOOKUP(export?format_csv_gid_612082435[[#This Row],[Valor]],Listas!A:B,2,FALSE)</f>
        <v>#N/A</v>
      </c>
    </row>
    <row r="782" spans="1:8" hidden="1" x14ac:dyDescent="0.3">
      <c r="A782" t="s">
        <v>83</v>
      </c>
      <c r="B782" t="s">
        <v>98</v>
      </c>
      <c r="C782" t="s">
        <v>156</v>
      </c>
      <c r="D782" s="19">
        <v>46148</v>
      </c>
      <c r="E782" t="s">
        <v>85</v>
      </c>
      <c r="F782">
        <f>+_xlfn.ISOWEEKNUM(export?format_csv_gid_612082435[[#This Row],[Fecha]])</f>
        <v>19</v>
      </c>
      <c r="G782">
        <f>+YEAR(export?format_csv_gid_612082435[[#This Row],[Fecha]])</f>
        <v>2026</v>
      </c>
      <c r="H782" t="e">
        <f>+VLOOKUP(export?format_csv_gid_612082435[[#This Row],[Valor]],Listas!A:B,2,FALSE)</f>
        <v>#N/A</v>
      </c>
    </row>
    <row r="783" spans="1:8" hidden="1" x14ac:dyDescent="0.3">
      <c r="A783" t="s">
        <v>83</v>
      </c>
      <c r="B783" t="s">
        <v>98</v>
      </c>
      <c r="C783" t="s">
        <v>156</v>
      </c>
      <c r="D783" s="19">
        <v>46149</v>
      </c>
      <c r="E783" t="s">
        <v>85</v>
      </c>
      <c r="F783">
        <f>+_xlfn.ISOWEEKNUM(export?format_csv_gid_612082435[[#This Row],[Fecha]])</f>
        <v>19</v>
      </c>
      <c r="G783">
        <f>+YEAR(export?format_csv_gid_612082435[[#This Row],[Fecha]])</f>
        <v>2026</v>
      </c>
      <c r="H783" t="e">
        <f>+VLOOKUP(export?format_csv_gid_612082435[[#This Row],[Valor]],Listas!A:B,2,FALSE)</f>
        <v>#N/A</v>
      </c>
    </row>
    <row r="784" spans="1:8" hidden="1" x14ac:dyDescent="0.3">
      <c r="A784" t="s">
        <v>83</v>
      </c>
      <c r="B784" t="s">
        <v>98</v>
      </c>
      <c r="C784" t="s">
        <v>156</v>
      </c>
      <c r="D784" s="19">
        <v>46150</v>
      </c>
      <c r="E784" t="s">
        <v>85</v>
      </c>
      <c r="F784">
        <f>+_xlfn.ISOWEEKNUM(export?format_csv_gid_612082435[[#This Row],[Fecha]])</f>
        <v>19</v>
      </c>
      <c r="G784">
        <f>+YEAR(export?format_csv_gid_612082435[[#This Row],[Fecha]])</f>
        <v>2026</v>
      </c>
      <c r="H784" t="e">
        <f>+VLOOKUP(export?format_csv_gid_612082435[[#This Row],[Valor]],Listas!A:B,2,FALSE)</f>
        <v>#N/A</v>
      </c>
    </row>
    <row r="785" spans="1:8" hidden="1" x14ac:dyDescent="0.3">
      <c r="A785" t="s">
        <v>83</v>
      </c>
      <c r="B785" t="s">
        <v>98</v>
      </c>
      <c r="C785" t="s">
        <v>156</v>
      </c>
      <c r="D785" s="19">
        <v>46151</v>
      </c>
      <c r="E785" t="s">
        <v>85</v>
      </c>
      <c r="F785">
        <f>+_xlfn.ISOWEEKNUM(export?format_csv_gid_612082435[[#This Row],[Fecha]])</f>
        <v>19</v>
      </c>
      <c r="G785">
        <f>+YEAR(export?format_csv_gid_612082435[[#This Row],[Fecha]])</f>
        <v>2026</v>
      </c>
      <c r="H785" t="e">
        <f>+VLOOKUP(export?format_csv_gid_612082435[[#This Row],[Valor]],Listas!A:B,2,FALSE)</f>
        <v>#N/A</v>
      </c>
    </row>
    <row r="786" spans="1:8" hidden="1" x14ac:dyDescent="0.3">
      <c r="A786" t="s">
        <v>83</v>
      </c>
      <c r="B786" t="s">
        <v>98</v>
      </c>
      <c r="C786" t="s">
        <v>156</v>
      </c>
      <c r="D786" s="19">
        <v>46152</v>
      </c>
      <c r="E786" t="s">
        <v>85</v>
      </c>
      <c r="F786">
        <f>+_xlfn.ISOWEEKNUM(export?format_csv_gid_612082435[[#This Row],[Fecha]])</f>
        <v>19</v>
      </c>
      <c r="G786">
        <f>+YEAR(export?format_csv_gid_612082435[[#This Row],[Fecha]])</f>
        <v>2026</v>
      </c>
      <c r="H786" t="e">
        <f>+VLOOKUP(export?format_csv_gid_612082435[[#This Row],[Valor]],Listas!A:B,2,FALSE)</f>
        <v>#N/A</v>
      </c>
    </row>
    <row r="787" spans="1:8" hidden="1" x14ac:dyDescent="0.3">
      <c r="A787" t="s">
        <v>83</v>
      </c>
      <c r="B787" t="s">
        <v>98</v>
      </c>
      <c r="C787" t="s">
        <v>156</v>
      </c>
      <c r="D787" s="19">
        <v>46153</v>
      </c>
      <c r="E787" t="s">
        <v>85</v>
      </c>
      <c r="F787">
        <f>+_xlfn.ISOWEEKNUM(export?format_csv_gid_612082435[[#This Row],[Fecha]])</f>
        <v>20</v>
      </c>
      <c r="G787">
        <f>+YEAR(export?format_csv_gid_612082435[[#This Row],[Fecha]])</f>
        <v>2026</v>
      </c>
      <c r="H787" t="e">
        <f>+VLOOKUP(export?format_csv_gid_612082435[[#This Row],[Valor]],Listas!A:B,2,FALSE)</f>
        <v>#N/A</v>
      </c>
    </row>
    <row r="788" spans="1:8" hidden="1" x14ac:dyDescent="0.3">
      <c r="A788" t="s">
        <v>83</v>
      </c>
      <c r="B788" t="s">
        <v>98</v>
      </c>
      <c r="C788" t="s">
        <v>156</v>
      </c>
      <c r="D788" s="19">
        <v>46154</v>
      </c>
      <c r="E788" t="s">
        <v>85</v>
      </c>
      <c r="F788">
        <f>+_xlfn.ISOWEEKNUM(export?format_csv_gid_612082435[[#This Row],[Fecha]])</f>
        <v>20</v>
      </c>
      <c r="G788">
        <f>+YEAR(export?format_csv_gid_612082435[[#This Row],[Fecha]])</f>
        <v>2026</v>
      </c>
      <c r="H788" t="e">
        <f>+VLOOKUP(export?format_csv_gid_612082435[[#This Row],[Valor]],Listas!A:B,2,FALSE)</f>
        <v>#N/A</v>
      </c>
    </row>
    <row r="789" spans="1:8" hidden="1" x14ac:dyDescent="0.3">
      <c r="A789" t="s">
        <v>83</v>
      </c>
      <c r="B789" t="s">
        <v>98</v>
      </c>
      <c r="C789" t="s">
        <v>156</v>
      </c>
      <c r="D789" s="19">
        <v>46155</v>
      </c>
      <c r="E789" t="s">
        <v>77</v>
      </c>
      <c r="F789">
        <f>+_xlfn.ISOWEEKNUM(export?format_csv_gid_612082435[[#This Row],[Fecha]])</f>
        <v>20</v>
      </c>
      <c r="G789">
        <f>+YEAR(export?format_csv_gid_612082435[[#This Row],[Fecha]])</f>
        <v>2026</v>
      </c>
      <c r="H789" t="e">
        <f>+VLOOKUP(export?format_csv_gid_612082435[[#This Row],[Valor]],Listas!A:B,2,FALSE)</f>
        <v>#N/A</v>
      </c>
    </row>
    <row r="790" spans="1:8" hidden="1" x14ac:dyDescent="0.3">
      <c r="A790" t="s">
        <v>83</v>
      </c>
      <c r="B790" t="s">
        <v>98</v>
      </c>
      <c r="C790" t="s">
        <v>156</v>
      </c>
      <c r="D790" s="19">
        <v>46156</v>
      </c>
      <c r="E790" t="s">
        <v>77</v>
      </c>
      <c r="F790">
        <f>+_xlfn.ISOWEEKNUM(export?format_csv_gid_612082435[[#This Row],[Fecha]])</f>
        <v>20</v>
      </c>
      <c r="G790">
        <f>+YEAR(export?format_csv_gid_612082435[[#This Row],[Fecha]])</f>
        <v>2026</v>
      </c>
      <c r="H790" t="e">
        <f>+VLOOKUP(export?format_csv_gid_612082435[[#This Row],[Valor]],Listas!A:B,2,FALSE)</f>
        <v>#N/A</v>
      </c>
    </row>
    <row r="791" spans="1:8" hidden="1" x14ac:dyDescent="0.3">
      <c r="A791" t="s">
        <v>83</v>
      </c>
      <c r="B791" t="s">
        <v>98</v>
      </c>
      <c r="C791" t="s">
        <v>156</v>
      </c>
      <c r="D791" s="19">
        <v>46157</v>
      </c>
      <c r="E791" t="s">
        <v>77</v>
      </c>
      <c r="F791">
        <f>+_xlfn.ISOWEEKNUM(export?format_csv_gid_612082435[[#This Row],[Fecha]])</f>
        <v>20</v>
      </c>
      <c r="G791">
        <f>+YEAR(export?format_csv_gid_612082435[[#This Row],[Fecha]])</f>
        <v>2026</v>
      </c>
      <c r="H791" t="e">
        <f>+VLOOKUP(export?format_csv_gid_612082435[[#This Row],[Valor]],Listas!A:B,2,FALSE)</f>
        <v>#N/A</v>
      </c>
    </row>
    <row r="792" spans="1:8" hidden="1" x14ac:dyDescent="0.3">
      <c r="A792" t="s">
        <v>83</v>
      </c>
      <c r="B792" t="s">
        <v>98</v>
      </c>
      <c r="C792" t="s">
        <v>156</v>
      </c>
      <c r="D792" s="19">
        <v>46158</v>
      </c>
      <c r="E792" t="s">
        <v>77</v>
      </c>
      <c r="F792">
        <f>+_xlfn.ISOWEEKNUM(export?format_csv_gid_612082435[[#This Row],[Fecha]])</f>
        <v>20</v>
      </c>
      <c r="G792">
        <f>+YEAR(export?format_csv_gid_612082435[[#This Row],[Fecha]])</f>
        <v>2026</v>
      </c>
      <c r="H792" t="e">
        <f>+VLOOKUP(export?format_csv_gid_612082435[[#This Row],[Valor]],Listas!A:B,2,FALSE)</f>
        <v>#N/A</v>
      </c>
    </row>
    <row r="793" spans="1:8" hidden="1" x14ac:dyDescent="0.3">
      <c r="A793" t="s">
        <v>83</v>
      </c>
      <c r="B793" t="s">
        <v>98</v>
      </c>
      <c r="C793" t="s">
        <v>156</v>
      </c>
      <c r="D793" s="19">
        <v>46159</v>
      </c>
      <c r="E793" t="s">
        <v>77</v>
      </c>
      <c r="F793">
        <f>+_xlfn.ISOWEEKNUM(export?format_csv_gid_612082435[[#This Row],[Fecha]])</f>
        <v>20</v>
      </c>
      <c r="G793">
        <f>+YEAR(export?format_csv_gid_612082435[[#This Row],[Fecha]])</f>
        <v>2026</v>
      </c>
      <c r="H793" t="e">
        <f>+VLOOKUP(export?format_csv_gid_612082435[[#This Row],[Valor]],Listas!A:B,2,FALSE)</f>
        <v>#N/A</v>
      </c>
    </row>
    <row r="794" spans="1:8" hidden="1" x14ac:dyDescent="0.3">
      <c r="A794" t="s">
        <v>83</v>
      </c>
      <c r="B794" t="s">
        <v>98</v>
      </c>
      <c r="C794" t="s">
        <v>156</v>
      </c>
      <c r="D794" s="19">
        <v>46160</v>
      </c>
      <c r="E794" t="s">
        <v>77</v>
      </c>
      <c r="F794">
        <f>+_xlfn.ISOWEEKNUM(export?format_csv_gid_612082435[[#This Row],[Fecha]])</f>
        <v>21</v>
      </c>
      <c r="G794">
        <f>+YEAR(export?format_csv_gid_612082435[[#This Row],[Fecha]])</f>
        <v>2026</v>
      </c>
      <c r="H794" t="e">
        <f>+VLOOKUP(export?format_csv_gid_612082435[[#This Row],[Valor]],Listas!A:B,2,FALSE)</f>
        <v>#N/A</v>
      </c>
    </row>
    <row r="795" spans="1:8" hidden="1" x14ac:dyDescent="0.3">
      <c r="A795" t="s">
        <v>83</v>
      </c>
      <c r="B795" t="s">
        <v>98</v>
      </c>
      <c r="C795" t="s">
        <v>156</v>
      </c>
      <c r="D795" s="19">
        <v>46161</v>
      </c>
      <c r="E795" t="s">
        <v>77</v>
      </c>
      <c r="F795">
        <f>+_xlfn.ISOWEEKNUM(export?format_csv_gid_612082435[[#This Row],[Fecha]])</f>
        <v>21</v>
      </c>
      <c r="G795">
        <f>+YEAR(export?format_csv_gid_612082435[[#This Row],[Fecha]])</f>
        <v>2026</v>
      </c>
      <c r="H795" t="e">
        <f>+VLOOKUP(export?format_csv_gid_612082435[[#This Row],[Valor]],Listas!A:B,2,FALSE)</f>
        <v>#N/A</v>
      </c>
    </row>
    <row r="796" spans="1:8" hidden="1" x14ac:dyDescent="0.3">
      <c r="A796" t="s">
        <v>83</v>
      </c>
      <c r="B796" t="s">
        <v>98</v>
      </c>
      <c r="C796" t="s">
        <v>156</v>
      </c>
      <c r="D796" s="19">
        <v>46162</v>
      </c>
      <c r="E796" t="s">
        <v>77</v>
      </c>
      <c r="F796">
        <f>+_xlfn.ISOWEEKNUM(export?format_csv_gid_612082435[[#This Row],[Fecha]])</f>
        <v>21</v>
      </c>
      <c r="G796">
        <f>+YEAR(export?format_csv_gid_612082435[[#This Row],[Fecha]])</f>
        <v>2026</v>
      </c>
      <c r="H796" t="e">
        <f>+VLOOKUP(export?format_csv_gid_612082435[[#This Row],[Valor]],Listas!A:B,2,FALSE)</f>
        <v>#N/A</v>
      </c>
    </row>
    <row r="797" spans="1:8" hidden="1" x14ac:dyDescent="0.3">
      <c r="A797" t="s">
        <v>83</v>
      </c>
      <c r="B797" t="s">
        <v>98</v>
      </c>
      <c r="C797" t="s">
        <v>156</v>
      </c>
      <c r="D797" s="19">
        <v>46163</v>
      </c>
      <c r="E797" t="s">
        <v>77</v>
      </c>
      <c r="F797">
        <f>+_xlfn.ISOWEEKNUM(export?format_csv_gid_612082435[[#This Row],[Fecha]])</f>
        <v>21</v>
      </c>
      <c r="G797">
        <f>+YEAR(export?format_csv_gid_612082435[[#This Row],[Fecha]])</f>
        <v>2026</v>
      </c>
      <c r="H797" t="e">
        <f>+VLOOKUP(export?format_csv_gid_612082435[[#This Row],[Valor]],Listas!A:B,2,FALSE)</f>
        <v>#N/A</v>
      </c>
    </row>
    <row r="798" spans="1:8" hidden="1" x14ac:dyDescent="0.3">
      <c r="A798" t="s">
        <v>83</v>
      </c>
      <c r="B798" t="s">
        <v>98</v>
      </c>
      <c r="C798" t="s">
        <v>156</v>
      </c>
      <c r="D798" s="19">
        <v>46164</v>
      </c>
      <c r="E798" t="s">
        <v>77</v>
      </c>
      <c r="F798">
        <f>+_xlfn.ISOWEEKNUM(export?format_csv_gid_612082435[[#This Row],[Fecha]])</f>
        <v>21</v>
      </c>
      <c r="G798">
        <f>+YEAR(export?format_csv_gid_612082435[[#This Row],[Fecha]])</f>
        <v>2026</v>
      </c>
      <c r="H798" t="e">
        <f>+VLOOKUP(export?format_csv_gid_612082435[[#This Row],[Valor]],Listas!A:B,2,FALSE)</f>
        <v>#N/A</v>
      </c>
    </row>
    <row r="799" spans="1:8" hidden="1" x14ac:dyDescent="0.3">
      <c r="A799" t="s">
        <v>83</v>
      </c>
      <c r="B799" t="s">
        <v>98</v>
      </c>
      <c r="C799" t="s">
        <v>156</v>
      </c>
      <c r="D799" s="19">
        <v>46165</v>
      </c>
      <c r="E799" t="s">
        <v>77</v>
      </c>
      <c r="F799">
        <f>+_xlfn.ISOWEEKNUM(export?format_csv_gid_612082435[[#This Row],[Fecha]])</f>
        <v>21</v>
      </c>
      <c r="G799">
        <f>+YEAR(export?format_csv_gid_612082435[[#This Row],[Fecha]])</f>
        <v>2026</v>
      </c>
      <c r="H799" t="e">
        <f>+VLOOKUP(export?format_csv_gid_612082435[[#This Row],[Valor]],Listas!A:B,2,FALSE)</f>
        <v>#N/A</v>
      </c>
    </row>
    <row r="800" spans="1:8" hidden="1" x14ac:dyDescent="0.3">
      <c r="A800" t="s">
        <v>83</v>
      </c>
      <c r="B800" t="s">
        <v>98</v>
      </c>
      <c r="C800" t="s">
        <v>156</v>
      </c>
      <c r="D800" s="19">
        <v>46166</v>
      </c>
      <c r="E800" t="s">
        <v>77</v>
      </c>
      <c r="F800">
        <f>+_xlfn.ISOWEEKNUM(export?format_csv_gid_612082435[[#This Row],[Fecha]])</f>
        <v>21</v>
      </c>
      <c r="G800">
        <f>+YEAR(export?format_csv_gid_612082435[[#This Row],[Fecha]])</f>
        <v>2026</v>
      </c>
      <c r="H800" t="e">
        <f>+VLOOKUP(export?format_csv_gid_612082435[[#This Row],[Valor]],Listas!A:B,2,FALSE)</f>
        <v>#N/A</v>
      </c>
    </row>
    <row r="801" spans="1:8" hidden="1" x14ac:dyDescent="0.3">
      <c r="A801" t="s">
        <v>83</v>
      </c>
      <c r="B801" t="s">
        <v>98</v>
      </c>
      <c r="C801" t="s">
        <v>156</v>
      </c>
      <c r="D801" s="19">
        <v>46167</v>
      </c>
      <c r="E801" t="s">
        <v>77</v>
      </c>
      <c r="F801">
        <f>+_xlfn.ISOWEEKNUM(export?format_csv_gid_612082435[[#This Row],[Fecha]])</f>
        <v>22</v>
      </c>
      <c r="G801">
        <f>+YEAR(export?format_csv_gid_612082435[[#This Row],[Fecha]])</f>
        <v>2026</v>
      </c>
      <c r="H801" t="e">
        <f>+VLOOKUP(export?format_csv_gid_612082435[[#This Row],[Valor]],Listas!A:B,2,FALSE)</f>
        <v>#N/A</v>
      </c>
    </row>
    <row r="802" spans="1:8" hidden="1" x14ac:dyDescent="0.3">
      <c r="A802" t="s">
        <v>83</v>
      </c>
      <c r="B802" t="s">
        <v>98</v>
      </c>
      <c r="C802" t="s">
        <v>156</v>
      </c>
      <c r="D802" s="19">
        <v>46168</v>
      </c>
      <c r="E802" t="s">
        <v>77</v>
      </c>
      <c r="F802">
        <f>+_xlfn.ISOWEEKNUM(export?format_csv_gid_612082435[[#This Row],[Fecha]])</f>
        <v>22</v>
      </c>
      <c r="G802">
        <f>+YEAR(export?format_csv_gid_612082435[[#This Row],[Fecha]])</f>
        <v>2026</v>
      </c>
      <c r="H802" t="e">
        <f>+VLOOKUP(export?format_csv_gid_612082435[[#This Row],[Valor]],Listas!A:B,2,FALSE)</f>
        <v>#N/A</v>
      </c>
    </row>
    <row r="803" spans="1:8" hidden="1" x14ac:dyDescent="0.3">
      <c r="A803" t="s">
        <v>83</v>
      </c>
      <c r="B803" t="s">
        <v>98</v>
      </c>
      <c r="C803" t="s">
        <v>156</v>
      </c>
      <c r="D803" s="19">
        <v>46169</v>
      </c>
      <c r="E803" t="s">
        <v>77</v>
      </c>
      <c r="F803">
        <f>+_xlfn.ISOWEEKNUM(export?format_csv_gid_612082435[[#This Row],[Fecha]])</f>
        <v>22</v>
      </c>
      <c r="G803">
        <f>+YEAR(export?format_csv_gid_612082435[[#This Row],[Fecha]])</f>
        <v>2026</v>
      </c>
      <c r="H803" t="e">
        <f>+VLOOKUP(export?format_csv_gid_612082435[[#This Row],[Valor]],Listas!A:B,2,FALSE)</f>
        <v>#N/A</v>
      </c>
    </row>
    <row r="804" spans="1:8" hidden="1" x14ac:dyDescent="0.3">
      <c r="A804" t="s">
        <v>83</v>
      </c>
      <c r="B804" t="s">
        <v>98</v>
      </c>
      <c r="C804" t="s">
        <v>156</v>
      </c>
      <c r="D804" s="19">
        <v>46170</v>
      </c>
      <c r="E804" t="s">
        <v>77</v>
      </c>
      <c r="F804">
        <f>+_xlfn.ISOWEEKNUM(export?format_csv_gid_612082435[[#This Row],[Fecha]])</f>
        <v>22</v>
      </c>
      <c r="G804">
        <f>+YEAR(export?format_csv_gid_612082435[[#This Row],[Fecha]])</f>
        <v>2026</v>
      </c>
      <c r="H804" t="e">
        <f>+VLOOKUP(export?format_csv_gid_612082435[[#This Row],[Valor]],Listas!A:B,2,FALSE)</f>
        <v>#N/A</v>
      </c>
    </row>
    <row r="805" spans="1:8" hidden="1" x14ac:dyDescent="0.3">
      <c r="A805" t="s">
        <v>83</v>
      </c>
      <c r="B805" t="s">
        <v>98</v>
      </c>
      <c r="C805" t="s">
        <v>156</v>
      </c>
      <c r="D805" s="19">
        <v>46171</v>
      </c>
      <c r="E805" t="s">
        <v>77</v>
      </c>
      <c r="F805">
        <f>+_xlfn.ISOWEEKNUM(export?format_csv_gid_612082435[[#This Row],[Fecha]])</f>
        <v>22</v>
      </c>
      <c r="G805">
        <f>+YEAR(export?format_csv_gid_612082435[[#This Row],[Fecha]])</f>
        <v>2026</v>
      </c>
      <c r="H805" t="e">
        <f>+VLOOKUP(export?format_csv_gid_612082435[[#This Row],[Valor]],Listas!A:B,2,FALSE)</f>
        <v>#N/A</v>
      </c>
    </row>
    <row r="806" spans="1:8" hidden="1" x14ac:dyDescent="0.3">
      <c r="A806" t="s">
        <v>83</v>
      </c>
      <c r="B806" t="s">
        <v>98</v>
      </c>
      <c r="C806" t="s">
        <v>156</v>
      </c>
      <c r="D806" s="19">
        <v>46172</v>
      </c>
      <c r="E806" t="s">
        <v>77</v>
      </c>
      <c r="F806">
        <f>+_xlfn.ISOWEEKNUM(export?format_csv_gid_612082435[[#This Row],[Fecha]])</f>
        <v>22</v>
      </c>
      <c r="G806">
        <f>+YEAR(export?format_csv_gid_612082435[[#This Row],[Fecha]])</f>
        <v>2026</v>
      </c>
      <c r="H806" t="e">
        <f>+VLOOKUP(export?format_csv_gid_612082435[[#This Row],[Valor]],Listas!A:B,2,FALSE)</f>
        <v>#N/A</v>
      </c>
    </row>
    <row r="807" spans="1:8" hidden="1" x14ac:dyDescent="0.3">
      <c r="A807" t="s">
        <v>83</v>
      </c>
      <c r="B807" t="s">
        <v>98</v>
      </c>
      <c r="C807" t="s">
        <v>156</v>
      </c>
      <c r="D807" s="19">
        <v>46173</v>
      </c>
      <c r="E807" t="s">
        <v>77</v>
      </c>
      <c r="F807">
        <f>+_xlfn.ISOWEEKNUM(export?format_csv_gid_612082435[[#This Row],[Fecha]])</f>
        <v>22</v>
      </c>
      <c r="G807">
        <f>+YEAR(export?format_csv_gid_612082435[[#This Row],[Fecha]])</f>
        <v>2026</v>
      </c>
      <c r="H807" t="e">
        <f>+VLOOKUP(export?format_csv_gid_612082435[[#This Row],[Valor]],Listas!A:B,2,FALSE)</f>
        <v>#N/A</v>
      </c>
    </row>
    <row r="808" spans="1:8" hidden="1" x14ac:dyDescent="0.3">
      <c r="A808" t="s">
        <v>72</v>
      </c>
      <c r="B808" t="s">
        <v>88</v>
      </c>
      <c r="C808" t="s">
        <v>157</v>
      </c>
      <c r="D808" s="19">
        <v>46143</v>
      </c>
      <c r="E808" t="s">
        <v>76</v>
      </c>
      <c r="F808">
        <f>+_xlfn.ISOWEEKNUM(export?format_csv_gid_612082435[[#This Row],[Fecha]])</f>
        <v>18</v>
      </c>
      <c r="G808">
        <f>+YEAR(export?format_csv_gid_612082435[[#This Row],[Fecha]])</f>
        <v>2026</v>
      </c>
      <c r="H808" t="str">
        <f>+VLOOKUP(export?format_csv_gid_612082435[[#This Row],[Valor]],Listas!A:B,2,FALSE)</f>
        <v>Asistencia</v>
      </c>
    </row>
    <row r="809" spans="1:8" hidden="1" x14ac:dyDescent="0.3">
      <c r="A809" t="s">
        <v>72</v>
      </c>
      <c r="B809" t="s">
        <v>88</v>
      </c>
      <c r="C809" t="s">
        <v>157</v>
      </c>
      <c r="D809" s="19">
        <v>46144</v>
      </c>
      <c r="E809" t="s">
        <v>75</v>
      </c>
      <c r="F809">
        <f>+_xlfn.ISOWEEKNUM(export?format_csv_gid_612082435[[#This Row],[Fecha]])</f>
        <v>18</v>
      </c>
      <c r="G809">
        <f>+YEAR(export?format_csv_gid_612082435[[#This Row],[Fecha]])</f>
        <v>2026</v>
      </c>
      <c r="H809" t="str">
        <f>+VLOOKUP(export?format_csv_gid_612082435[[#This Row],[Valor]],Listas!A:B,2,FALSE)</f>
        <v>No Remunerado</v>
      </c>
    </row>
    <row r="810" spans="1:8" hidden="1" x14ac:dyDescent="0.3">
      <c r="A810" t="s">
        <v>72</v>
      </c>
      <c r="B810" t="s">
        <v>88</v>
      </c>
      <c r="C810" t="s">
        <v>157</v>
      </c>
      <c r="D810" s="19">
        <v>46145</v>
      </c>
      <c r="E810" t="s">
        <v>75</v>
      </c>
      <c r="F810">
        <f>+_xlfn.ISOWEEKNUM(export?format_csv_gid_612082435[[#This Row],[Fecha]])</f>
        <v>18</v>
      </c>
      <c r="G810">
        <f>+YEAR(export?format_csv_gid_612082435[[#This Row],[Fecha]])</f>
        <v>2026</v>
      </c>
      <c r="H810" t="str">
        <f>+VLOOKUP(export?format_csv_gid_612082435[[#This Row],[Valor]],Listas!A:B,2,FALSE)</f>
        <v>No Remunerado</v>
      </c>
    </row>
    <row r="811" spans="1:8" hidden="1" x14ac:dyDescent="0.3">
      <c r="A811" t="s">
        <v>72</v>
      </c>
      <c r="B811" t="s">
        <v>88</v>
      </c>
      <c r="C811" t="s">
        <v>157</v>
      </c>
      <c r="D811" s="19">
        <v>46146</v>
      </c>
      <c r="E811" t="s">
        <v>76</v>
      </c>
      <c r="F811">
        <f>+_xlfn.ISOWEEKNUM(export?format_csv_gid_612082435[[#This Row],[Fecha]])</f>
        <v>19</v>
      </c>
      <c r="G811">
        <f>+YEAR(export?format_csv_gid_612082435[[#This Row],[Fecha]])</f>
        <v>2026</v>
      </c>
      <c r="H811" t="str">
        <f>+VLOOKUP(export?format_csv_gid_612082435[[#This Row],[Valor]],Listas!A:B,2,FALSE)</f>
        <v>Asistencia</v>
      </c>
    </row>
    <row r="812" spans="1:8" hidden="1" x14ac:dyDescent="0.3">
      <c r="A812" t="s">
        <v>72</v>
      </c>
      <c r="B812" t="s">
        <v>88</v>
      </c>
      <c r="C812" t="s">
        <v>157</v>
      </c>
      <c r="D812" s="19">
        <v>46147</v>
      </c>
      <c r="E812" t="s">
        <v>76</v>
      </c>
      <c r="F812">
        <f>+_xlfn.ISOWEEKNUM(export?format_csv_gid_612082435[[#This Row],[Fecha]])</f>
        <v>19</v>
      </c>
      <c r="G812">
        <f>+YEAR(export?format_csv_gid_612082435[[#This Row],[Fecha]])</f>
        <v>2026</v>
      </c>
      <c r="H812" t="str">
        <f>+VLOOKUP(export?format_csv_gid_612082435[[#This Row],[Valor]],Listas!A:B,2,FALSE)</f>
        <v>Asistencia</v>
      </c>
    </row>
    <row r="813" spans="1:8" hidden="1" x14ac:dyDescent="0.3">
      <c r="A813" t="s">
        <v>72</v>
      </c>
      <c r="B813" t="s">
        <v>88</v>
      </c>
      <c r="C813" t="s">
        <v>157</v>
      </c>
      <c r="D813" s="19">
        <v>46148</v>
      </c>
      <c r="E813" t="s">
        <v>76</v>
      </c>
      <c r="F813">
        <f>+_xlfn.ISOWEEKNUM(export?format_csv_gid_612082435[[#This Row],[Fecha]])</f>
        <v>19</v>
      </c>
      <c r="G813">
        <f>+YEAR(export?format_csv_gid_612082435[[#This Row],[Fecha]])</f>
        <v>2026</v>
      </c>
      <c r="H813" t="str">
        <f>+VLOOKUP(export?format_csv_gid_612082435[[#This Row],[Valor]],Listas!A:B,2,FALSE)</f>
        <v>Asistencia</v>
      </c>
    </row>
    <row r="814" spans="1:8" hidden="1" x14ac:dyDescent="0.3">
      <c r="A814" t="s">
        <v>72</v>
      </c>
      <c r="B814" t="s">
        <v>88</v>
      </c>
      <c r="C814" t="s">
        <v>157</v>
      </c>
      <c r="D814" s="19">
        <v>46149</v>
      </c>
      <c r="E814" t="s">
        <v>76</v>
      </c>
      <c r="F814">
        <f>+_xlfn.ISOWEEKNUM(export?format_csv_gid_612082435[[#This Row],[Fecha]])</f>
        <v>19</v>
      </c>
      <c r="G814">
        <f>+YEAR(export?format_csv_gid_612082435[[#This Row],[Fecha]])</f>
        <v>2026</v>
      </c>
      <c r="H814" t="str">
        <f>+VLOOKUP(export?format_csv_gid_612082435[[#This Row],[Valor]],Listas!A:B,2,FALSE)</f>
        <v>Asistencia</v>
      </c>
    </row>
    <row r="815" spans="1:8" hidden="1" x14ac:dyDescent="0.3">
      <c r="A815" t="s">
        <v>72</v>
      </c>
      <c r="B815" t="s">
        <v>88</v>
      </c>
      <c r="C815" t="s">
        <v>157</v>
      </c>
      <c r="D815" s="19">
        <v>46150</v>
      </c>
      <c r="E815" t="s">
        <v>76</v>
      </c>
      <c r="F815">
        <f>+_xlfn.ISOWEEKNUM(export?format_csv_gid_612082435[[#This Row],[Fecha]])</f>
        <v>19</v>
      </c>
      <c r="G815">
        <f>+YEAR(export?format_csv_gid_612082435[[#This Row],[Fecha]])</f>
        <v>2026</v>
      </c>
      <c r="H815" t="str">
        <f>+VLOOKUP(export?format_csv_gid_612082435[[#This Row],[Valor]],Listas!A:B,2,FALSE)</f>
        <v>Asistencia</v>
      </c>
    </row>
    <row r="816" spans="1:8" hidden="1" x14ac:dyDescent="0.3">
      <c r="A816" t="s">
        <v>72</v>
      </c>
      <c r="B816" t="s">
        <v>88</v>
      </c>
      <c r="C816" t="s">
        <v>157</v>
      </c>
      <c r="D816" s="19">
        <v>46151</v>
      </c>
      <c r="E816" t="s">
        <v>76</v>
      </c>
      <c r="F816">
        <f>+_xlfn.ISOWEEKNUM(export?format_csv_gid_612082435[[#This Row],[Fecha]])</f>
        <v>19</v>
      </c>
      <c r="G816">
        <f>+YEAR(export?format_csv_gid_612082435[[#This Row],[Fecha]])</f>
        <v>2026</v>
      </c>
      <c r="H816" t="str">
        <f>+VLOOKUP(export?format_csv_gid_612082435[[#This Row],[Valor]],Listas!A:B,2,FALSE)</f>
        <v>Asistencia</v>
      </c>
    </row>
    <row r="817" spans="1:8" hidden="1" x14ac:dyDescent="0.3">
      <c r="A817" t="s">
        <v>72</v>
      </c>
      <c r="B817" t="s">
        <v>88</v>
      </c>
      <c r="C817" t="s">
        <v>157</v>
      </c>
      <c r="D817" s="19">
        <v>46152</v>
      </c>
      <c r="E817" t="s">
        <v>113</v>
      </c>
      <c r="F817">
        <f>+_xlfn.ISOWEEKNUM(export?format_csv_gid_612082435[[#This Row],[Fecha]])</f>
        <v>19</v>
      </c>
      <c r="G817">
        <f>+YEAR(export?format_csv_gid_612082435[[#This Row],[Fecha]])</f>
        <v>2026</v>
      </c>
      <c r="H817" t="str">
        <f>+VLOOKUP(export?format_csv_gid_612082435[[#This Row],[Valor]],Listas!A:B,2,FALSE)</f>
        <v>D. Remunerado</v>
      </c>
    </row>
    <row r="818" spans="1:8" hidden="1" x14ac:dyDescent="0.3">
      <c r="A818" t="s">
        <v>72</v>
      </c>
      <c r="B818" t="s">
        <v>88</v>
      </c>
      <c r="C818" t="s">
        <v>157</v>
      </c>
      <c r="D818" s="19">
        <v>46153</v>
      </c>
      <c r="E818" t="s">
        <v>76</v>
      </c>
      <c r="F818">
        <f>+_xlfn.ISOWEEKNUM(export?format_csv_gid_612082435[[#This Row],[Fecha]])</f>
        <v>20</v>
      </c>
      <c r="G818">
        <f>+YEAR(export?format_csv_gid_612082435[[#This Row],[Fecha]])</f>
        <v>2026</v>
      </c>
      <c r="H818" t="str">
        <f>+VLOOKUP(export?format_csv_gid_612082435[[#This Row],[Valor]],Listas!A:B,2,FALSE)</f>
        <v>Asistencia</v>
      </c>
    </row>
    <row r="819" spans="1:8" hidden="1" x14ac:dyDescent="0.3">
      <c r="A819" t="s">
        <v>72</v>
      </c>
      <c r="B819" t="s">
        <v>88</v>
      </c>
      <c r="C819" t="s">
        <v>157</v>
      </c>
      <c r="D819" s="19">
        <v>46154</v>
      </c>
      <c r="E819" t="s">
        <v>76</v>
      </c>
      <c r="F819">
        <f>+_xlfn.ISOWEEKNUM(export?format_csv_gid_612082435[[#This Row],[Fecha]])</f>
        <v>20</v>
      </c>
      <c r="G819">
        <f>+YEAR(export?format_csv_gid_612082435[[#This Row],[Fecha]])</f>
        <v>2026</v>
      </c>
      <c r="H819" t="str">
        <f>+VLOOKUP(export?format_csv_gid_612082435[[#This Row],[Valor]],Listas!A:B,2,FALSE)</f>
        <v>Asistencia</v>
      </c>
    </row>
    <row r="820" spans="1:8" hidden="1" x14ac:dyDescent="0.3">
      <c r="A820" t="s">
        <v>72</v>
      </c>
      <c r="B820" t="s">
        <v>88</v>
      </c>
      <c r="C820" t="s">
        <v>157</v>
      </c>
      <c r="D820" s="19">
        <v>46155</v>
      </c>
      <c r="E820" t="s">
        <v>76</v>
      </c>
      <c r="F820">
        <f>+_xlfn.ISOWEEKNUM(export?format_csv_gid_612082435[[#This Row],[Fecha]])</f>
        <v>20</v>
      </c>
      <c r="G820">
        <f>+YEAR(export?format_csv_gid_612082435[[#This Row],[Fecha]])</f>
        <v>2026</v>
      </c>
      <c r="H820" t="str">
        <f>+VLOOKUP(export?format_csv_gid_612082435[[#This Row],[Valor]],Listas!A:B,2,FALSE)</f>
        <v>Asistencia</v>
      </c>
    </row>
    <row r="821" spans="1:8" hidden="1" x14ac:dyDescent="0.3">
      <c r="A821" t="s">
        <v>72</v>
      </c>
      <c r="B821" t="s">
        <v>88</v>
      </c>
      <c r="C821" t="s">
        <v>157</v>
      </c>
      <c r="D821" s="19">
        <v>46156</v>
      </c>
      <c r="E821" t="s">
        <v>76</v>
      </c>
      <c r="F821">
        <f>+_xlfn.ISOWEEKNUM(export?format_csv_gid_612082435[[#This Row],[Fecha]])</f>
        <v>20</v>
      </c>
      <c r="G821">
        <f>+YEAR(export?format_csv_gid_612082435[[#This Row],[Fecha]])</f>
        <v>2026</v>
      </c>
      <c r="H821" t="str">
        <f>+VLOOKUP(export?format_csv_gid_612082435[[#This Row],[Valor]],Listas!A:B,2,FALSE)</f>
        <v>Asistencia</v>
      </c>
    </row>
    <row r="822" spans="1:8" hidden="1" x14ac:dyDescent="0.3">
      <c r="A822" t="s">
        <v>72</v>
      </c>
      <c r="B822" t="s">
        <v>88</v>
      </c>
      <c r="C822" t="s">
        <v>157</v>
      </c>
      <c r="D822" s="19">
        <v>46157</v>
      </c>
      <c r="E822" t="s">
        <v>76</v>
      </c>
      <c r="F822">
        <f>+_xlfn.ISOWEEKNUM(export?format_csv_gid_612082435[[#This Row],[Fecha]])</f>
        <v>20</v>
      </c>
      <c r="G822">
        <f>+YEAR(export?format_csv_gid_612082435[[#This Row],[Fecha]])</f>
        <v>2026</v>
      </c>
      <c r="H822" t="str">
        <f>+VLOOKUP(export?format_csv_gid_612082435[[#This Row],[Valor]],Listas!A:B,2,FALSE)</f>
        <v>Asistencia</v>
      </c>
    </row>
    <row r="823" spans="1:8" hidden="1" x14ac:dyDescent="0.3">
      <c r="A823" t="s">
        <v>72</v>
      </c>
      <c r="B823" t="s">
        <v>88</v>
      </c>
      <c r="C823" t="s">
        <v>157</v>
      </c>
      <c r="D823" s="19">
        <v>46158</v>
      </c>
      <c r="E823" t="s">
        <v>77</v>
      </c>
      <c r="F823">
        <f>+_xlfn.ISOWEEKNUM(export?format_csv_gid_612082435[[#This Row],[Fecha]])</f>
        <v>20</v>
      </c>
      <c r="G823">
        <f>+YEAR(export?format_csv_gid_612082435[[#This Row],[Fecha]])</f>
        <v>2026</v>
      </c>
      <c r="H823" t="e">
        <f>+VLOOKUP(export?format_csv_gid_612082435[[#This Row],[Valor]],Listas!A:B,2,FALSE)</f>
        <v>#N/A</v>
      </c>
    </row>
    <row r="824" spans="1:8" hidden="1" x14ac:dyDescent="0.3">
      <c r="A824" t="s">
        <v>72</v>
      </c>
      <c r="B824" t="s">
        <v>88</v>
      </c>
      <c r="C824" t="s">
        <v>157</v>
      </c>
      <c r="D824" s="19">
        <v>46159</v>
      </c>
      <c r="E824" t="s">
        <v>77</v>
      </c>
      <c r="F824">
        <f>+_xlfn.ISOWEEKNUM(export?format_csv_gid_612082435[[#This Row],[Fecha]])</f>
        <v>20</v>
      </c>
      <c r="G824">
        <f>+YEAR(export?format_csv_gid_612082435[[#This Row],[Fecha]])</f>
        <v>2026</v>
      </c>
      <c r="H824" t="e">
        <f>+VLOOKUP(export?format_csv_gid_612082435[[#This Row],[Valor]],Listas!A:B,2,FALSE)</f>
        <v>#N/A</v>
      </c>
    </row>
    <row r="825" spans="1:8" hidden="1" x14ac:dyDescent="0.3">
      <c r="A825" t="s">
        <v>72</v>
      </c>
      <c r="B825" t="s">
        <v>88</v>
      </c>
      <c r="C825" t="s">
        <v>157</v>
      </c>
      <c r="D825" s="19">
        <v>46160</v>
      </c>
      <c r="E825" t="s">
        <v>77</v>
      </c>
      <c r="F825">
        <f>+_xlfn.ISOWEEKNUM(export?format_csv_gid_612082435[[#This Row],[Fecha]])</f>
        <v>21</v>
      </c>
      <c r="G825">
        <f>+YEAR(export?format_csv_gid_612082435[[#This Row],[Fecha]])</f>
        <v>2026</v>
      </c>
      <c r="H825" t="e">
        <f>+VLOOKUP(export?format_csv_gid_612082435[[#This Row],[Valor]],Listas!A:B,2,FALSE)</f>
        <v>#N/A</v>
      </c>
    </row>
    <row r="826" spans="1:8" hidden="1" x14ac:dyDescent="0.3">
      <c r="A826" t="s">
        <v>72</v>
      </c>
      <c r="B826" t="s">
        <v>88</v>
      </c>
      <c r="C826" t="s">
        <v>157</v>
      </c>
      <c r="D826" s="19">
        <v>46161</v>
      </c>
      <c r="E826" t="s">
        <v>77</v>
      </c>
      <c r="F826">
        <f>+_xlfn.ISOWEEKNUM(export?format_csv_gid_612082435[[#This Row],[Fecha]])</f>
        <v>21</v>
      </c>
      <c r="G826">
        <f>+YEAR(export?format_csv_gid_612082435[[#This Row],[Fecha]])</f>
        <v>2026</v>
      </c>
      <c r="H826" t="e">
        <f>+VLOOKUP(export?format_csv_gid_612082435[[#This Row],[Valor]],Listas!A:B,2,FALSE)</f>
        <v>#N/A</v>
      </c>
    </row>
    <row r="827" spans="1:8" hidden="1" x14ac:dyDescent="0.3">
      <c r="A827" t="s">
        <v>72</v>
      </c>
      <c r="B827" t="s">
        <v>88</v>
      </c>
      <c r="C827" t="s">
        <v>157</v>
      </c>
      <c r="D827" s="19">
        <v>46162</v>
      </c>
      <c r="E827" t="s">
        <v>77</v>
      </c>
      <c r="F827">
        <f>+_xlfn.ISOWEEKNUM(export?format_csv_gid_612082435[[#This Row],[Fecha]])</f>
        <v>21</v>
      </c>
      <c r="G827">
        <f>+YEAR(export?format_csv_gid_612082435[[#This Row],[Fecha]])</f>
        <v>2026</v>
      </c>
      <c r="H827" t="e">
        <f>+VLOOKUP(export?format_csv_gid_612082435[[#This Row],[Valor]],Listas!A:B,2,FALSE)</f>
        <v>#N/A</v>
      </c>
    </row>
    <row r="828" spans="1:8" hidden="1" x14ac:dyDescent="0.3">
      <c r="A828" t="s">
        <v>72</v>
      </c>
      <c r="B828" t="s">
        <v>88</v>
      </c>
      <c r="C828" t="s">
        <v>157</v>
      </c>
      <c r="D828" s="19">
        <v>46163</v>
      </c>
      <c r="E828" t="s">
        <v>77</v>
      </c>
      <c r="F828">
        <f>+_xlfn.ISOWEEKNUM(export?format_csv_gid_612082435[[#This Row],[Fecha]])</f>
        <v>21</v>
      </c>
      <c r="G828">
        <f>+YEAR(export?format_csv_gid_612082435[[#This Row],[Fecha]])</f>
        <v>2026</v>
      </c>
      <c r="H828" t="e">
        <f>+VLOOKUP(export?format_csv_gid_612082435[[#This Row],[Valor]],Listas!A:B,2,FALSE)</f>
        <v>#N/A</v>
      </c>
    </row>
    <row r="829" spans="1:8" hidden="1" x14ac:dyDescent="0.3">
      <c r="A829" t="s">
        <v>72</v>
      </c>
      <c r="B829" t="s">
        <v>88</v>
      </c>
      <c r="C829" t="s">
        <v>157</v>
      </c>
      <c r="D829" s="19">
        <v>46164</v>
      </c>
      <c r="E829" t="s">
        <v>77</v>
      </c>
      <c r="F829">
        <f>+_xlfn.ISOWEEKNUM(export?format_csv_gid_612082435[[#This Row],[Fecha]])</f>
        <v>21</v>
      </c>
      <c r="G829">
        <f>+YEAR(export?format_csv_gid_612082435[[#This Row],[Fecha]])</f>
        <v>2026</v>
      </c>
      <c r="H829" t="e">
        <f>+VLOOKUP(export?format_csv_gid_612082435[[#This Row],[Valor]],Listas!A:B,2,FALSE)</f>
        <v>#N/A</v>
      </c>
    </row>
    <row r="830" spans="1:8" hidden="1" x14ac:dyDescent="0.3">
      <c r="A830" t="s">
        <v>72</v>
      </c>
      <c r="B830" t="s">
        <v>88</v>
      </c>
      <c r="C830" t="s">
        <v>157</v>
      </c>
      <c r="D830" s="19">
        <v>46165</v>
      </c>
      <c r="E830" t="s">
        <v>77</v>
      </c>
      <c r="F830">
        <f>+_xlfn.ISOWEEKNUM(export?format_csv_gid_612082435[[#This Row],[Fecha]])</f>
        <v>21</v>
      </c>
      <c r="G830">
        <f>+YEAR(export?format_csv_gid_612082435[[#This Row],[Fecha]])</f>
        <v>2026</v>
      </c>
      <c r="H830" t="e">
        <f>+VLOOKUP(export?format_csv_gid_612082435[[#This Row],[Valor]],Listas!A:B,2,FALSE)</f>
        <v>#N/A</v>
      </c>
    </row>
    <row r="831" spans="1:8" hidden="1" x14ac:dyDescent="0.3">
      <c r="A831" t="s">
        <v>72</v>
      </c>
      <c r="B831" t="s">
        <v>88</v>
      </c>
      <c r="C831" t="s">
        <v>157</v>
      </c>
      <c r="D831" s="19">
        <v>46166</v>
      </c>
      <c r="E831" t="s">
        <v>77</v>
      </c>
      <c r="F831">
        <f>+_xlfn.ISOWEEKNUM(export?format_csv_gid_612082435[[#This Row],[Fecha]])</f>
        <v>21</v>
      </c>
      <c r="G831">
        <f>+YEAR(export?format_csv_gid_612082435[[#This Row],[Fecha]])</f>
        <v>2026</v>
      </c>
      <c r="H831" t="e">
        <f>+VLOOKUP(export?format_csv_gid_612082435[[#This Row],[Valor]],Listas!A:B,2,FALSE)</f>
        <v>#N/A</v>
      </c>
    </row>
    <row r="832" spans="1:8" hidden="1" x14ac:dyDescent="0.3">
      <c r="A832" t="s">
        <v>72</v>
      </c>
      <c r="B832" t="s">
        <v>88</v>
      </c>
      <c r="C832" t="s">
        <v>157</v>
      </c>
      <c r="D832" s="19">
        <v>46167</v>
      </c>
      <c r="E832" t="s">
        <v>77</v>
      </c>
      <c r="F832">
        <f>+_xlfn.ISOWEEKNUM(export?format_csv_gid_612082435[[#This Row],[Fecha]])</f>
        <v>22</v>
      </c>
      <c r="G832">
        <f>+YEAR(export?format_csv_gid_612082435[[#This Row],[Fecha]])</f>
        <v>2026</v>
      </c>
      <c r="H832" t="e">
        <f>+VLOOKUP(export?format_csv_gid_612082435[[#This Row],[Valor]],Listas!A:B,2,FALSE)</f>
        <v>#N/A</v>
      </c>
    </row>
    <row r="833" spans="1:8" hidden="1" x14ac:dyDescent="0.3">
      <c r="A833" t="s">
        <v>72</v>
      </c>
      <c r="B833" t="s">
        <v>88</v>
      </c>
      <c r="C833" t="s">
        <v>157</v>
      </c>
      <c r="D833" s="19">
        <v>46168</v>
      </c>
      <c r="E833" t="s">
        <v>77</v>
      </c>
      <c r="F833">
        <f>+_xlfn.ISOWEEKNUM(export?format_csv_gid_612082435[[#This Row],[Fecha]])</f>
        <v>22</v>
      </c>
      <c r="G833">
        <f>+YEAR(export?format_csv_gid_612082435[[#This Row],[Fecha]])</f>
        <v>2026</v>
      </c>
      <c r="H833" t="e">
        <f>+VLOOKUP(export?format_csv_gid_612082435[[#This Row],[Valor]],Listas!A:B,2,FALSE)</f>
        <v>#N/A</v>
      </c>
    </row>
    <row r="834" spans="1:8" hidden="1" x14ac:dyDescent="0.3">
      <c r="A834" t="s">
        <v>72</v>
      </c>
      <c r="B834" t="s">
        <v>88</v>
      </c>
      <c r="C834" t="s">
        <v>157</v>
      </c>
      <c r="D834" s="19">
        <v>46169</v>
      </c>
      <c r="E834" t="s">
        <v>77</v>
      </c>
      <c r="F834">
        <f>+_xlfn.ISOWEEKNUM(export?format_csv_gid_612082435[[#This Row],[Fecha]])</f>
        <v>22</v>
      </c>
      <c r="G834">
        <f>+YEAR(export?format_csv_gid_612082435[[#This Row],[Fecha]])</f>
        <v>2026</v>
      </c>
      <c r="H834" t="e">
        <f>+VLOOKUP(export?format_csv_gid_612082435[[#This Row],[Valor]],Listas!A:B,2,FALSE)</f>
        <v>#N/A</v>
      </c>
    </row>
    <row r="835" spans="1:8" hidden="1" x14ac:dyDescent="0.3">
      <c r="A835" t="s">
        <v>72</v>
      </c>
      <c r="B835" t="s">
        <v>88</v>
      </c>
      <c r="C835" t="s">
        <v>157</v>
      </c>
      <c r="D835" s="19">
        <v>46170</v>
      </c>
      <c r="E835" t="s">
        <v>77</v>
      </c>
      <c r="F835">
        <f>+_xlfn.ISOWEEKNUM(export?format_csv_gid_612082435[[#This Row],[Fecha]])</f>
        <v>22</v>
      </c>
      <c r="G835">
        <f>+YEAR(export?format_csv_gid_612082435[[#This Row],[Fecha]])</f>
        <v>2026</v>
      </c>
      <c r="H835" t="e">
        <f>+VLOOKUP(export?format_csv_gid_612082435[[#This Row],[Valor]],Listas!A:B,2,FALSE)</f>
        <v>#N/A</v>
      </c>
    </row>
    <row r="836" spans="1:8" hidden="1" x14ac:dyDescent="0.3">
      <c r="A836" t="s">
        <v>72</v>
      </c>
      <c r="B836" t="s">
        <v>88</v>
      </c>
      <c r="C836" t="s">
        <v>157</v>
      </c>
      <c r="D836" s="19">
        <v>46171</v>
      </c>
      <c r="E836" t="s">
        <v>77</v>
      </c>
      <c r="F836">
        <f>+_xlfn.ISOWEEKNUM(export?format_csv_gid_612082435[[#This Row],[Fecha]])</f>
        <v>22</v>
      </c>
      <c r="G836">
        <f>+YEAR(export?format_csv_gid_612082435[[#This Row],[Fecha]])</f>
        <v>2026</v>
      </c>
      <c r="H836" t="e">
        <f>+VLOOKUP(export?format_csv_gid_612082435[[#This Row],[Valor]],Listas!A:B,2,FALSE)</f>
        <v>#N/A</v>
      </c>
    </row>
    <row r="837" spans="1:8" hidden="1" x14ac:dyDescent="0.3">
      <c r="A837" t="s">
        <v>72</v>
      </c>
      <c r="B837" t="s">
        <v>88</v>
      </c>
      <c r="C837" t="s">
        <v>157</v>
      </c>
      <c r="D837" s="19">
        <v>46172</v>
      </c>
      <c r="E837" t="s">
        <v>77</v>
      </c>
      <c r="F837">
        <f>+_xlfn.ISOWEEKNUM(export?format_csv_gid_612082435[[#This Row],[Fecha]])</f>
        <v>22</v>
      </c>
      <c r="G837">
        <f>+YEAR(export?format_csv_gid_612082435[[#This Row],[Fecha]])</f>
        <v>2026</v>
      </c>
      <c r="H837" t="e">
        <f>+VLOOKUP(export?format_csv_gid_612082435[[#This Row],[Valor]],Listas!A:B,2,FALSE)</f>
        <v>#N/A</v>
      </c>
    </row>
    <row r="838" spans="1:8" hidden="1" x14ac:dyDescent="0.3">
      <c r="A838" t="s">
        <v>72</v>
      </c>
      <c r="B838" t="s">
        <v>88</v>
      </c>
      <c r="C838" t="s">
        <v>157</v>
      </c>
      <c r="D838" s="19">
        <v>46173</v>
      </c>
      <c r="E838" t="s">
        <v>77</v>
      </c>
      <c r="F838">
        <f>+_xlfn.ISOWEEKNUM(export?format_csv_gid_612082435[[#This Row],[Fecha]])</f>
        <v>22</v>
      </c>
      <c r="G838">
        <f>+YEAR(export?format_csv_gid_612082435[[#This Row],[Fecha]])</f>
        <v>2026</v>
      </c>
      <c r="H838" t="e">
        <f>+VLOOKUP(export?format_csv_gid_612082435[[#This Row],[Valor]],Listas!A:B,2,FALSE)</f>
        <v>#N/A</v>
      </c>
    </row>
    <row r="839" spans="1:8" hidden="1" x14ac:dyDescent="0.3">
      <c r="A839" t="s">
        <v>72</v>
      </c>
      <c r="B839" t="s">
        <v>98</v>
      </c>
      <c r="C839" t="s">
        <v>144</v>
      </c>
      <c r="D839" s="19">
        <v>46143</v>
      </c>
      <c r="E839" t="s">
        <v>76</v>
      </c>
      <c r="F839">
        <f>+_xlfn.ISOWEEKNUM(export?format_csv_gid_612082435[[#This Row],[Fecha]])</f>
        <v>18</v>
      </c>
      <c r="G839">
        <f>+YEAR(export?format_csv_gid_612082435[[#This Row],[Fecha]])</f>
        <v>2026</v>
      </c>
      <c r="H839" t="str">
        <f>+VLOOKUP(export?format_csv_gid_612082435[[#This Row],[Valor]],Listas!A:B,2,FALSE)</f>
        <v>Asistencia</v>
      </c>
    </row>
    <row r="840" spans="1:8" hidden="1" x14ac:dyDescent="0.3">
      <c r="A840" t="s">
        <v>72</v>
      </c>
      <c r="B840" t="s">
        <v>98</v>
      </c>
      <c r="C840" t="s">
        <v>144</v>
      </c>
      <c r="D840" s="19">
        <v>46144</v>
      </c>
      <c r="E840" t="s">
        <v>76</v>
      </c>
      <c r="F840">
        <f>+_xlfn.ISOWEEKNUM(export?format_csv_gid_612082435[[#This Row],[Fecha]])</f>
        <v>18</v>
      </c>
      <c r="G840">
        <f>+YEAR(export?format_csv_gid_612082435[[#This Row],[Fecha]])</f>
        <v>2026</v>
      </c>
      <c r="H840" t="str">
        <f>+VLOOKUP(export?format_csv_gid_612082435[[#This Row],[Valor]],Listas!A:B,2,FALSE)</f>
        <v>Asistencia</v>
      </c>
    </row>
    <row r="841" spans="1:8" hidden="1" x14ac:dyDescent="0.3">
      <c r="A841" t="s">
        <v>72</v>
      </c>
      <c r="B841" t="s">
        <v>98</v>
      </c>
      <c r="C841" t="s">
        <v>144</v>
      </c>
      <c r="D841" s="19">
        <v>46145</v>
      </c>
      <c r="E841" t="s">
        <v>75</v>
      </c>
      <c r="F841">
        <f>+_xlfn.ISOWEEKNUM(export?format_csv_gid_612082435[[#This Row],[Fecha]])</f>
        <v>18</v>
      </c>
      <c r="G841">
        <f>+YEAR(export?format_csv_gid_612082435[[#This Row],[Fecha]])</f>
        <v>2026</v>
      </c>
      <c r="H841" t="str">
        <f>+VLOOKUP(export?format_csv_gid_612082435[[#This Row],[Valor]],Listas!A:B,2,FALSE)</f>
        <v>No Remunerado</v>
      </c>
    </row>
    <row r="842" spans="1:8" hidden="1" x14ac:dyDescent="0.3">
      <c r="A842" t="s">
        <v>72</v>
      </c>
      <c r="B842" t="s">
        <v>98</v>
      </c>
      <c r="C842" t="s">
        <v>144</v>
      </c>
      <c r="D842" s="19">
        <v>46146</v>
      </c>
      <c r="E842" t="s">
        <v>76</v>
      </c>
      <c r="F842">
        <f>+_xlfn.ISOWEEKNUM(export?format_csv_gid_612082435[[#This Row],[Fecha]])</f>
        <v>19</v>
      </c>
      <c r="G842">
        <f>+YEAR(export?format_csv_gid_612082435[[#This Row],[Fecha]])</f>
        <v>2026</v>
      </c>
      <c r="H842" t="str">
        <f>+VLOOKUP(export?format_csv_gid_612082435[[#This Row],[Valor]],Listas!A:B,2,FALSE)</f>
        <v>Asistencia</v>
      </c>
    </row>
    <row r="843" spans="1:8" hidden="1" x14ac:dyDescent="0.3">
      <c r="A843" t="s">
        <v>72</v>
      </c>
      <c r="B843" t="s">
        <v>98</v>
      </c>
      <c r="C843" t="s">
        <v>144</v>
      </c>
      <c r="D843" s="19">
        <v>46147</v>
      </c>
      <c r="E843" t="s">
        <v>76</v>
      </c>
      <c r="F843">
        <f>+_xlfn.ISOWEEKNUM(export?format_csv_gid_612082435[[#This Row],[Fecha]])</f>
        <v>19</v>
      </c>
      <c r="G843">
        <f>+YEAR(export?format_csv_gid_612082435[[#This Row],[Fecha]])</f>
        <v>2026</v>
      </c>
      <c r="H843" t="str">
        <f>+VLOOKUP(export?format_csv_gid_612082435[[#This Row],[Valor]],Listas!A:B,2,FALSE)</f>
        <v>Asistencia</v>
      </c>
    </row>
    <row r="844" spans="1:8" hidden="1" x14ac:dyDescent="0.3">
      <c r="A844" t="s">
        <v>72</v>
      </c>
      <c r="B844" t="s">
        <v>98</v>
      </c>
      <c r="C844" t="s">
        <v>144</v>
      </c>
      <c r="D844" s="19">
        <v>46148</v>
      </c>
      <c r="E844" t="s">
        <v>76</v>
      </c>
      <c r="F844">
        <f>+_xlfn.ISOWEEKNUM(export?format_csv_gid_612082435[[#This Row],[Fecha]])</f>
        <v>19</v>
      </c>
      <c r="G844">
        <f>+YEAR(export?format_csv_gid_612082435[[#This Row],[Fecha]])</f>
        <v>2026</v>
      </c>
      <c r="H844" t="str">
        <f>+VLOOKUP(export?format_csv_gid_612082435[[#This Row],[Valor]],Listas!A:B,2,FALSE)</f>
        <v>Asistencia</v>
      </c>
    </row>
    <row r="845" spans="1:8" hidden="1" x14ac:dyDescent="0.3">
      <c r="A845" t="s">
        <v>72</v>
      </c>
      <c r="B845" t="s">
        <v>98</v>
      </c>
      <c r="C845" t="s">
        <v>144</v>
      </c>
      <c r="D845" s="19">
        <v>46149</v>
      </c>
      <c r="E845" t="s">
        <v>76</v>
      </c>
      <c r="F845">
        <f>+_xlfn.ISOWEEKNUM(export?format_csv_gid_612082435[[#This Row],[Fecha]])</f>
        <v>19</v>
      </c>
      <c r="G845">
        <f>+YEAR(export?format_csv_gid_612082435[[#This Row],[Fecha]])</f>
        <v>2026</v>
      </c>
      <c r="H845" t="str">
        <f>+VLOOKUP(export?format_csv_gid_612082435[[#This Row],[Valor]],Listas!A:B,2,FALSE)</f>
        <v>Asistencia</v>
      </c>
    </row>
    <row r="846" spans="1:8" hidden="1" x14ac:dyDescent="0.3">
      <c r="A846" t="s">
        <v>72</v>
      </c>
      <c r="B846" t="s">
        <v>98</v>
      </c>
      <c r="C846" t="s">
        <v>144</v>
      </c>
      <c r="D846" s="19">
        <v>46150</v>
      </c>
      <c r="E846" t="s">
        <v>76</v>
      </c>
      <c r="F846">
        <f>+_xlfn.ISOWEEKNUM(export?format_csv_gid_612082435[[#This Row],[Fecha]])</f>
        <v>19</v>
      </c>
      <c r="G846">
        <f>+YEAR(export?format_csv_gid_612082435[[#This Row],[Fecha]])</f>
        <v>2026</v>
      </c>
      <c r="H846" t="str">
        <f>+VLOOKUP(export?format_csv_gid_612082435[[#This Row],[Valor]],Listas!A:B,2,FALSE)</f>
        <v>Asistencia</v>
      </c>
    </row>
    <row r="847" spans="1:8" hidden="1" x14ac:dyDescent="0.3">
      <c r="A847" t="s">
        <v>72</v>
      </c>
      <c r="B847" t="s">
        <v>98</v>
      </c>
      <c r="C847" t="s">
        <v>144</v>
      </c>
      <c r="D847" s="19">
        <v>46151</v>
      </c>
      <c r="E847" t="s">
        <v>76</v>
      </c>
      <c r="F847">
        <f>+_xlfn.ISOWEEKNUM(export?format_csv_gid_612082435[[#This Row],[Fecha]])</f>
        <v>19</v>
      </c>
      <c r="G847">
        <f>+YEAR(export?format_csv_gid_612082435[[#This Row],[Fecha]])</f>
        <v>2026</v>
      </c>
      <c r="H847" t="str">
        <f>+VLOOKUP(export?format_csv_gid_612082435[[#This Row],[Valor]],Listas!A:B,2,FALSE)</f>
        <v>Asistencia</v>
      </c>
    </row>
    <row r="848" spans="1:8" hidden="1" x14ac:dyDescent="0.3">
      <c r="A848" t="s">
        <v>72</v>
      </c>
      <c r="B848" t="s">
        <v>98</v>
      </c>
      <c r="C848" t="s">
        <v>144</v>
      </c>
      <c r="D848" s="19">
        <v>46152</v>
      </c>
      <c r="E848" t="s">
        <v>113</v>
      </c>
      <c r="F848">
        <f>+_xlfn.ISOWEEKNUM(export?format_csv_gid_612082435[[#This Row],[Fecha]])</f>
        <v>19</v>
      </c>
      <c r="G848">
        <f>+YEAR(export?format_csv_gid_612082435[[#This Row],[Fecha]])</f>
        <v>2026</v>
      </c>
      <c r="H848" t="str">
        <f>+VLOOKUP(export?format_csv_gid_612082435[[#This Row],[Valor]],Listas!A:B,2,FALSE)</f>
        <v>D. Remunerado</v>
      </c>
    </row>
    <row r="849" spans="1:8" hidden="1" x14ac:dyDescent="0.3">
      <c r="A849" t="s">
        <v>72</v>
      </c>
      <c r="B849" t="s">
        <v>98</v>
      </c>
      <c r="C849" t="s">
        <v>144</v>
      </c>
      <c r="D849" s="19">
        <v>46153</v>
      </c>
      <c r="E849" t="s">
        <v>76</v>
      </c>
      <c r="F849">
        <f>+_xlfn.ISOWEEKNUM(export?format_csv_gid_612082435[[#This Row],[Fecha]])</f>
        <v>20</v>
      </c>
      <c r="G849">
        <f>+YEAR(export?format_csv_gid_612082435[[#This Row],[Fecha]])</f>
        <v>2026</v>
      </c>
      <c r="H849" t="str">
        <f>+VLOOKUP(export?format_csv_gid_612082435[[#This Row],[Valor]],Listas!A:B,2,FALSE)</f>
        <v>Asistencia</v>
      </c>
    </row>
    <row r="850" spans="1:8" hidden="1" x14ac:dyDescent="0.3">
      <c r="A850" t="s">
        <v>72</v>
      </c>
      <c r="B850" t="s">
        <v>98</v>
      </c>
      <c r="C850" t="s">
        <v>144</v>
      </c>
      <c r="D850" s="19">
        <v>46154</v>
      </c>
      <c r="E850" t="s">
        <v>76</v>
      </c>
      <c r="F850">
        <f>+_xlfn.ISOWEEKNUM(export?format_csv_gid_612082435[[#This Row],[Fecha]])</f>
        <v>20</v>
      </c>
      <c r="G850">
        <f>+YEAR(export?format_csv_gid_612082435[[#This Row],[Fecha]])</f>
        <v>2026</v>
      </c>
      <c r="H850" t="str">
        <f>+VLOOKUP(export?format_csv_gid_612082435[[#This Row],[Valor]],Listas!A:B,2,FALSE)</f>
        <v>Asistencia</v>
      </c>
    </row>
    <row r="851" spans="1:8" hidden="1" x14ac:dyDescent="0.3">
      <c r="A851" t="s">
        <v>72</v>
      </c>
      <c r="B851" t="s">
        <v>98</v>
      </c>
      <c r="C851" t="s">
        <v>144</v>
      </c>
      <c r="D851" s="19">
        <v>46155</v>
      </c>
      <c r="E851" t="s">
        <v>76</v>
      </c>
      <c r="F851">
        <f>+_xlfn.ISOWEEKNUM(export?format_csv_gid_612082435[[#This Row],[Fecha]])</f>
        <v>20</v>
      </c>
      <c r="G851">
        <f>+YEAR(export?format_csv_gid_612082435[[#This Row],[Fecha]])</f>
        <v>2026</v>
      </c>
      <c r="H851" t="str">
        <f>+VLOOKUP(export?format_csv_gid_612082435[[#This Row],[Valor]],Listas!A:B,2,FALSE)</f>
        <v>Asistencia</v>
      </c>
    </row>
    <row r="852" spans="1:8" hidden="1" x14ac:dyDescent="0.3">
      <c r="A852" t="s">
        <v>72</v>
      </c>
      <c r="B852" t="s">
        <v>98</v>
      </c>
      <c r="C852" t="s">
        <v>144</v>
      </c>
      <c r="D852" s="19">
        <v>46156</v>
      </c>
      <c r="E852" t="s">
        <v>76</v>
      </c>
      <c r="F852">
        <f>+_xlfn.ISOWEEKNUM(export?format_csv_gid_612082435[[#This Row],[Fecha]])</f>
        <v>20</v>
      </c>
      <c r="G852">
        <f>+YEAR(export?format_csv_gid_612082435[[#This Row],[Fecha]])</f>
        <v>2026</v>
      </c>
      <c r="H852" t="str">
        <f>+VLOOKUP(export?format_csv_gid_612082435[[#This Row],[Valor]],Listas!A:B,2,FALSE)</f>
        <v>Asistencia</v>
      </c>
    </row>
    <row r="853" spans="1:8" hidden="1" x14ac:dyDescent="0.3">
      <c r="A853" t="s">
        <v>72</v>
      </c>
      <c r="B853" t="s">
        <v>98</v>
      </c>
      <c r="C853" t="s">
        <v>144</v>
      </c>
      <c r="D853" s="19">
        <v>46157</v>
      </c>
      <c r="E853" t="s">
        <v>76</v>
      </c>
      <c r="F853">
        <f>+_xlfn.ISOWEEKNUM(export?format_csv_gid_612082435[[#This Row],[Fecha]])</f>
        <v>20</v>
      </c>
      <c r="G853">
        <f>+YEAR(export?format_csv_gid_612082435[[#This Row],[Fecha]])</f>
        <v>2026</v>
      </c>
      <c r="H853" t="str">
        <f>+VLOOKUP(export?format_csv_gid_612082435[[#This Row],[Valor]],Listas!A:B,2,FALSE)</f>
        <v>Asistencia</v>
      </c>
    </row>
    <row r="854" spans="1:8" hidden="1" x14ac:dyDescent="0.3">
      <c r="A854" t="s">
        <v>72</v>
      </c>
      <c r="B854" t="s">
        <v>98</v>
      </c>
      <c r="C854" t="s">
        <v>144</v>
      </c>
      <c r="D854" s="19">
        <v>46158</v>
      </c>
      <c r="E854" t="s">
        <v>77</v>
      </c>
      <c r="F854">
        <f>+_xlfn.ISOWEEKNUM(export?format_csv_gid_612082435[[#This Row],[Fecha]])</f>
        <v>20</v>
      </c>
      <c r="G854">
        <f>+YEAR(export?format_csv_gid_612082435[[#This Row],[Fecha]])</f>
        <v>2026</v>
      </c>
      <c r="H854" t="e">
        <f>+VLOOKUP(export?format_csv_gid_612082435[[#This Row],[Valor]],Listas!A:B,2,FALSE)</f>
        <v>#N/A</v>
      </c>
    </row>
    <row r="855" spans="1:8" hidden="1" x14ac:dyDescent="0.3">
      <c r="A855" t="s">
        <v>72</v>
      </c>
      <c r="B855" t="s">
        <v>98</v>
      </c>
      <c r="C855" t="s">
        <v>144</v>
      </c>
      <c r="D855" s="19">
        <v>46159</v>
      </c>
      <c r="E855" t="s">
        <v>77</v>
      </c>
      <c r="F855">
        <f>+_xlfn.ISOWEEKNUM(export?format_csv_gid_612082435[[#This Row],[Fecha]])</f>
        <v>20</v>
      </c>
      <c r="G855">
        <f>+YEAR(export?format_csv_gid_612082435[[#This Row],[Fecha]])</f>
        <v>2026</v>
      </c>
      <c r="H855" t="e">
        <f>+VLOOKUP(export?format_csv_gid_612082435[[#This Row],[Valor]],Listas!A:B,2,FALSE)</f>
        <v>#N/A</v>
      </c>
    </row>
    <row r="856" spans="1:8" hidden="1" x14ac:dyDescent="0.3">
      <c r="A856" t="s">
        <v>72</v>
      </c>
      <c r="B856" t="s">
        <v>98</v>
      </c>
      <c r="C856" t="s">
        <v>144</v>
      </c>
      <c r="D856" s="19">
        <v>46160</v>
      </c>
      <c r="E856" t="s">
        <v>77</v>
      </c>
      <c r="F856">
        <f>+_xlfn.ISOWEEKNUM(export?format_csv_gid_612082435[[#This Row],[Fecha]])</f>
        <v>21</v>
      </c>
      <c r="G856">
        <f>+YEAR(export?format_csv_gid_612082435[[#This Row],[Fecha]])</f>
        <v>2026</v>
      </c>
      <c r="H856" t="e">
        <f>+VLOOKUP(export?format_csv_gid_612082435[[#This Row],[Valor]],Listas!A:B,2,FALSE)</f>
        <v>#N/A</v>
      </c>
    </row>
    <row r="857" spans="1:8" hidden="1" x14ac:dyDescent="0.3">
      <c r="A857" t="s">
        <v>72</v>
      </c>
      <c r="B857" t="s">
        <v>98</v>
      </c>
      <c r="C857" t="s">
        <v>144</v>
      </c>
      <c r="D857" s="19">
        <v>46161</v>
      </c>
      <c r="E857" t="s">
        <v>77</v>
      </c>
      <c r="F857">
        <f>+_xlfn.ISOWEEKNUM(export?format_csv_gid_612082435[[#This Row],[Fecha]])</f>
        <v>21</v>
      </c>
      <c r="G857">
        <f>+YEAR(export?format_csv_gid_612082435[[#This Row],[Fecha]])</f>
        <v>2026</v>
      </c>
      <c r="H857" t="e">
        <f>+VLOOKUP(export?format_csv_gid_612082435[[#This Row],[Valor]],Listas!A:B,2,FALSE)</f>
        <v>#N/A</v>
      </c>
    </row>
    <row r="858" spans="1:8" hidden="1" x14ac:dyDescent="0.3">
      <c r="A858" t="s">
        <v>72</v>
      </c>
      <c r="B858" t="s">
        <v>98</v>
      </c>
      <c r="C858" t="s">
        <v>144</v>
      </c>
      <c r="D858" s="19">
        <v>46162</v>
      </c>
      <c r="E858" t="s">
        <v>77</v>
      </c>
      <c r="F858">
        <f>+_xlfn.ISOWEEKNUM(export?format_csv_gid_612082435[[#This Row],[Fecha]])</f>
        <v>21</v>
      </c>
      <c r="G858">
        <f>+YEAR(export?format_csv_gid_612082435[[#This Row],[Fecha]])</f>
        <v>2026</v>
      </c>
      <c r="H858" t="e">
        <f>+VLOOKUP(export?format_csv_gid_612082435[[#This Row],[Valor]],Listas!A:B,2,FALSE)</f>
        <v>#N/A</v>
      </c>
    </row>
    <row r="859" spans="1:8" hidden="1" x14ac:dyDescent="0.3">
      <c r="A859" t="s">
        <v>72</v>
      </c>
      <c r="B859" t="s">
        <v>98</v>
      </c>
      <c r="C859" t="s">
        <v>144</v>
      </c>
      <c r="D859" s="19">
        <v>46163</v>
      </c>
      <c r="E859" t="s">
        <v>77</v>
      </c>
      <c r="F859">
        <f>+_xlfn.ISOWEEKNUM(export?format_csv_gid_612082435[[#This Row],[Fecha]])</f>
        <v>21</v>
      </c>
      <c r="G859">
        <f>+YEAR(export?format_csv_gid_612082435[[#This Row],[Fecha]])</f>
        <v>2026</v>
      </c>
      <c r="H859" t="e">
        <f>+VLOOKUP(export?format_csv_gid_612082435[[#This Row],[Valor]],Listas!A:B,2,FALSE)</f>
        <v>#N/A</v>
      </c>
    </row>
    <row r="860" spans="1:8" hidden="1" x14ac:dyDescent="0.3">
      <c r="A860" t="s">
        <v>72</v>
      </c>
      <c r="B860" t="s">
        <v>98</v>
      </c>
      <c r="C860" t="s">
        <v>144</v>
      </c>
      <c r="D860" s="19">
        <v>46164</v>
      </c>
      <c r="E860" t="s">
        <v>77</v>
      </c>
      <c r="F860">
        <f>+_xlfn.ISOWEEKNUM(export?format_csv_gid_612082435[[#This Row],[Fecha]])</f>
        <v>21</v>
      </c>
      <c r="G860">
        <f>+YEAR(export?format_csv_gid_612082435[[#This Row],[Fecha]])</f>
        <v>2026</v>
      </c>
      <c r="H860" t="e">
        <f>+VLOOKUP(export?format_csv_gid_612082435[[#This Row],[Valor]],Listas!A:B,2,FALSE)</f>
        <v>#N/A</v>
      </c>
    </row>
    <row r="861" spans="1:8" hidden="1" x14ac:dyDescent="0.3">
      <c r="A861" t="s">
        <v>72</v>
      </c>
      <c r="B861" t="s">
        <v>98</v>
      </c>
      <c r="C861" t="s">
        <v>144</v>
      </c>
      <c r="D861" s="19">
        <v>46165</v>
      </c>
      <c r="E861" t="s">
        <v>77</v>
      </c>
      <c r="F861">
        <f>+_xlfn.ISOWEEKNUM(export?format_csv_gid_612082435[[#This Row],[Fecha]])</f>
        <v>21</v>
      </c>
      <c r="G861">
        <f>+YEAR(export?format_csv_gid_612082435[[#This Row],[Fecha]])</f>
        <v>2026</v>
      </c>
      <c r="H861" t="e">
        <f>+VLOOKUP(export?format_csv_gid_612082435[[#This Row],[Valor]],Listas!A:B,2,FALSE)</f>
        <v>#N/A</v>
      </c>
    </row>
    <row r="862" spans="1:8" hidden="1" x14ac:dyDescent="0.3">
      <c r="A862" t="s">
        <v>72</v>
      </c>
      <c r="B862" t="s">
        <v>98</v>
      </c>
      <c r="C862" t="s">
        <v>144</v>
      </c>
      <c r="D862" s="19">
        <v>46166</v>
      </c>
      <c r="E862" t="s">
        <v>77</v>
      </c>
      <c r="F862">
        <f>+_xlfn.ISOWEEKNUM(export?format_csv_gid_612082435[[#This Row],[Fecha]])</f>
        <v>21</v>
      </c>
      <c r="G862">
        <f>+YEAR(export?format_csv_gid_612082435[[#This Row],[Fecha]])</f>
        <v>2026</v>
      </c>
      <c r="H862" t="e">
        <f>+VLOOKUP(export?format_csv_gid_612082435[[#This Row],[Valor]],Listas!A:B,2,FALSE)</f>
        <v>#N/A</v>
      </c>
    </row>
    <row r="863" spans="1:8" hidden="1" x14ac:dyDescent="0.3">
      <c r="A863" t="s">
        <v>72</v>
      </c>
      <c r="B863" t="s">
        <v>98</v>
      </c>
      <c r="C863" t="s">
        <v>144</v>
      </c>
      <c r="D863" s="19">
        <v>46167</v>
      </c>
      <c r="E863" t="s">
        <v>77</v>
      </c>
      <c r="F863">
        <f>+_xlfn.ISOWEEKNUM(export?format_csv_gid_612082435[[#This Row],[Fecha]])</f>
        <v>22</v>
      </c>
      <c r="G863">
        <f>+YEAR(export?format_csv_gid_612082435[[#This Row],[Fecha]])</f>
        <v>2026</v>
      </c>
      <c r="H863" t="e">
        <f>+VLOOKUP(export?format_csv_gid_612082435[[#This Row],[Valor]],Listas!A:B,2,FALSE)</f>
        <v>#N/A</v>
      </c>
    </row>
    <row r="864" spans="1:8" hidden="1" x14ac:dyDescent="0.3">
      <c r="A864" t="s">
        <v>72</v>
      </c>
      <c r="B864" t="s">
        <v>98</v>
      </c>
      <c r="C864" t="s">
        <v>144</v>
      </c>
      <c r="D864" s="19">
        <v>46168</v>
      </c>
      <c r="E864" t="s">
        <v>77</v>
      </c>
      <c r="F864">
        <f>+_xlfn.ISOWEEKNUM(export?format_csv_gid_612082435[[#This Row],[Fecha]])</f>
        <v>22</v>
      </c>
      <c r="G864">
        <f>+YEAR(export?format_csv_gid_612082435[[#This Row],[Fecha]])</f>
        <v>2026</v>
      </c>
      <c r="H864" t="e">
        <f>+VLOOKUP(export?format_csv_gid_612082435[[#This Row],[Valor]],Listas!A:B,2,FALSE)</f>
        <v>#N/A</v>
      </c>
    </row>
    <row r="865" spans="1:8" hidden="1" x14ac:dyDescent="0.3">
      <c r="A865" t="s">
        <v>72</v>
      </c>
      <c r="B865" t="s">
        <v>98</v>
      </c>
      <c r="C865" t="s">
        <v>144</v>
      </c>
      <c r="D865" s="19">
        <v>46169</v>
      </c>
      <c r="E865" t="s">
        <v>77</v>
      </c>
      <c r="F865">
        <f>+_xlfn.ISOWEEKNUM(export?format_csv_gid_612082435[[#This Row],[Fecha]])</f>
        <v>22</v>
      </c>
      <c r="G865">
        <f>+YEAR(export?format_csv_gid_612082435[[#This Row],[Fecha]])</f>
        <v>2026</v>
      </c>
      <c r="H865" t="e">
        <f>+VLOOKUP(export?format_csv_gid_612082435[[#This Row],[Valor]],Listas!A:B,2,FALSE)</f>
        <v>#N/A</v>
      </c>
    </row>
    <row r="866" spans="1:8" hidden="1" x14ac:dyDescent="0.3">
      <c r="A866" t="s">
        <v>72</v>
      </c>
      <c r="B866" t="s">
        <v>98</v>
      </c>
      <c r="C866" t="s">
        <v>144</v>
      </c>
      <c r="D866" s="19">
        <v>46170</v>
      </c>
      <c r="E866" t="s">
        <v>77</v>
      </c>
      <c r="F866">
        <f>+_xlfn.ISOWEEKNUM(export?format_csv_gid_612082435[[#This Row],[Fecha]])</f>
        <v>22</v>
      </c>
      <c r="G866">
        <f>+YEAR(export?format_csv_gid_612082435[[#This Row],[Fecha]])</f>
        <v>2026</v>
      </c>
      <c r="H866" t="e">
        <f>+VLOOKUP(export?format_csv_gid_612082435[[#This Row],[Valor]],Listas!A:B,2,FALSE)</f>
        <v>#N/A</v>
      </c>
    </row>
    <row r="867" spans="1:8" hidden="1" x14ac:dyDescent="0.3">
      <c r="A867" t="s">
        <v>72</v>
      </c>
      <c r="B867" t="s">
        <v>98</v>
      </c>
      <c r="C867" t="s">
        <v>144</v>
      </c>
      <c r="D867" s="19">
        <v>46171</v>
      </c>
      <c r="E867" t="s">
        <v>77</v>
      </c>
      <c r="F867">
        <f>+_xlfn.ISOWEEKNUM(export?format_csv_gid_612082435[[#This Row],[Fecha]])</f>
        <v>22</v>
      </c>
      <c r="G867">
        <f>+YEAR(export?format_csv_gid_612082435[[#This Row],[Fecha]])</f>
        <v>2026</v>
      </c>
      <c r="H867" t="e">
        <f>+VLOOKUP(export?format_csv_gid_612082435[[#This Row],[Valor]],Listas!A:B,2,FALSE)</f>
        <v>#N/A</v>
      </c>
    </row>
    <row r="868" spans="1:8" hidden="1" x14ac:dyDescent="0.3">
      <c r="A868" t="s">
        <v>72</v>
      </c>
      <c r="B868" t="s">
        <v>98</v>
      </c>
      <c r="C868" t="s">
        <v>144</v>
      </c>
      <c r="D868" s="19">
        <v>46172</v>
      </c>
      <c r="E868" t="s">
        <v>77</v>
      </c>
      <c r="F868">
        <f>+_xlfn.ISOWEEKNUM(export?format_csv_gid_612082435[[#This Row],[Fecha]])</f>
        <v>22</v>
      </c>
      <c r="G868">
        <f>+YEAR(export?format_csv_gid_612082435[[#This Row],[Fecha]])</f>
        <v>2026</v>
      </c>
      <c r="H868" t="e">
        <f>+VLOOKUP(export?format_csv_gid_612082435[[#This Row],[Valor]],Listas!A:B,2,FALSE)</f>
        <v>#N/A</v>
      </c>
    </row>
    <row r="869" spans="1:8" hidden="1" x14ac:dyDescent="0.3">
      <c r="A869" t="s">
        <v>72</v>
      </c>
      <c r="B869" t="s">
        <v>98</v>
      </c>
      <c r="C869" t="s">
        <v>144</v>
      </c>
      <c r="D869" s="19">
        <v>46173</v>
      </c>
      <c r="E869" t="s">
        <v>77</v>
      </c>
      <c r="F869">
        <f>+_xlfn.ISOWEEKNUM(export?format_csv_gid_612082435[[#This Row],[Fecha]])</f>
        <v>22</v>
      </c>
      <c r="G869">
        <f>+YEAR(export?format_csv_gid_612082435[[#This Row],[Fecha]])</f>
        <v>2026</v>
      </c>
      <c r="H869" t="e">
        <f>+VLOOKUP(export?format_csv_gid_612082435[[#This Row],[Valor]],Listas!A:B,2,FALSE)</f>
        <v>#N/A</v>
      </c>
    </row>
    <row r="870" spans="1:8" x14ac:dyDescent="0.3">
      <c r="A870" t="s">
        <v>72</v>
      </c>
      <c r="B870" t="s">
        <v>98</v>
      </c>
      <c r="C870" t="s">
        <v>145</v>
      </c>
      <c r="D870" s="19">
        <v>46143</v>
      </c>
      <c r="E870" t="s">
        <v>75</v>
      </c>
      <c r="F870">
        <f>+_xlfn.ISOWEEKNUM(export?format_csv_gid_612082435[[#This Row],[Fecha]])</f>
        <v>18</v>
      </c>
      <c r="G870">
        <f>+YEAR(export?format_csv_gid_612082435[[#This Row],[Fecha]])</f>
        <v>2026</v>
      </c>
      <c r="H870" t="str">
        <f>+VLOOKUP(export?format_csv_gid_612082435[[#This Row],[Valor]],Listas!A:B,2,FALSE)</f>
        <v>No Remunerado</v>
      </c>
    </row>
    <row r="871" spans="1:8" x14ac:dyDescent="0.3">
      <c r="A871" t="s">
        <v>72</v>
      </c>
      <c r="B871" t="s">
        <v>98</v>
      </c>
      <c r="C871" t="s">
        <v>145</v>
      </c>
      <c r="D871" s="19">
        <v>46144</v>
      </c>
      <c r="E871" t="s">
        <v>76</v>
      </c>
      <c r="F871">
        <f>+_xlfn.ISOWEEKNUM(export?format_csv_gid_612082435[[#This Row],[Fecha]])</f>
        <v>18</v>
      </c>
      <c r="G871">
        <f>+YEAR(export?format_csv_gid_612082435[[#This Row],[Fecha]])</f>
        <v>2026</v>
      </c>
      <c r="H871" t="str">
        <f>+VLOOKUP(export?format_csv_gid_612082435[[#This Row],[Valor]],Listas!A:B,2,FALSE)</f>
        <v>Asistencia</v>
      </c>
    </row>
    <row r="872" spans="1:8" x14ac:dyDescent="0.3">
      <c r="A872" t="s">
        <v>72</v>
      </c>
      <c r="B872" t="s">
        <v>98</v>
      </c>
      <c r="C872" t="s">
        <v>145</v>
      </c>
      <c r="D872" s="19">
        <v>46145</v>
      </c>
      <c r="E872" t="s">
        <v>75</v>
      </c>
      <c r="F872">
        <f>+_xlfn.ISOWEEKNUM(export?format_csv_gid_612082435[[#This Row],[Fecha]])</f>
        <v>18</v>
      </c>
      <c r="G872">
        <f>+YEAR(export?format_csv_gid_612082435[[#This Row],[Fecha]])</f>
        <v>2026</v>
      </c>
      <c r="H872" t="str">
        <f>+VLOOKUP(export?format_csv_gid_612082435[[#This Row],[Valor]],Listas!A:B,2,FALSE)</f>
        <v>No Remunerado</v>
      </c>
    </row>
    <row r="873" spans="1:8" x14ac:dyDescent="0.3">
      <c r="A873" t="s">
        <v>72</v>
      </c>
      <c r="B873" t="s">
        <v>98</v>
      </c>
      <c r="C873" t="s">
        <v>145</v>
      </c>
      <c r="D873" s="19">
        <v>46146</v>
      </c>
      <c r="E873" t="s">
        <v>76</v>
      </c>
      <c r="F873">
        <f>+_xlfn.ISOWEEKNUM(export?format_csv_gid_612082435[[#This Row],[Fecha]])</f>
        <v>19</v>
      </c>
      <c r="G873">
        <f>+YEAR(export?format_csv_gid_612082435[[#This Row],[Fecha]])</f>
        <v>2026</v>
      </c>
      <c r="H873" t="str">
        <f>+VLOOKUP(export?format_csv_gid_612082435[[#This Row],[Valor]],Listas!A:B,2,FALSE)</f>
        <v>Asistencia</v>
      </c>
    </row>
    <row r="874" spans="1:8" x14ac:dyDescent="0.3">
      <c r="A874" t="s">
        <v>72</v>
      </c>
      <c r="B874" t="s">
        <v>98</v>
      </c>
      <c r="C874" t="s">
        <v>145</v>
      </c>
      <c r="D874" s="19">
        <v>46147</v>
      </c>
      <c r="E874" t="s">
        <v>76</v>
      </c>
      <c r="F874">
        <f>+_xlfn.ISOWEEKNUM(export?format_csv_gid_612082435[[#This Row],[Fecha]])</f>
        <v>19</v>
      </c>
      <c r="G874">
        <f>+YEAR(export?format_csv_gid_612082435[[#This Row],[Fecha]])</f>
        <v>2026</v>
      </c>
      <c r="H874" t="str">
        <f>+VLOOKUP(export?format_csv_gid_612082435[[#This Row],[Valor]],Listas!A:B,2,FALSE)</f>
        <v>Asistencia</v>
      </c>
    </row>
    <row r="875" spans="1:8" x14ac:dyDescent="0.3">
      <c r="A875" t="s">
        <v>72</v>
      </c>
      <c r="B875" t="s">
        <v>98</v>
      </c>
      <c r="C875" t="s">
        <v>145</v>
      </c>
      <c r="D875" s="19">
        <v>46148</v>
      </c>
      <c r="E875" t="s">
        <v>76</v>
      </c>
      <c r="F875">
        <f>+_xlfn.ISOWEEKNUM(export?format_csv_gid_612082435[[#This Row],[Fecha]])</f>
        <v>19</v>
      </c>
      <c r="G875">
        <f>+YEAR(export?format_csv_gid_612082435[[#This Row],[Fecha]])</f>
        <v>2026</v>
      </c>
      <c r="H875" t="str">
        <f>+VLOOKUP(export?format_csv_gid_612082435[[#This Row],[Valor]],Listas!A:B,2,FALSE)</f>
        <v>Asistencia</v>
      </c>
    </row>
    <row r="876" spans="1:8" x14ac:dyDescent="0.3">
      <c r="A876" t="s">
        <v>72</v>
      </c>
      <c r="B876" t="s">
        <v>98</v>
      </c>
      <c r="C876" t="s">
        <v>145</v>
      </c>
      <c r="D876" s="19">
        <v>46149</v>
      </c>
      <c r="E876" t="s">
        <v>76</v>
      </c>
      <c r="F876">
        <f>+_xlfn.ISOWEEKNUM(export?format_csv_gid_612082435[[#This Row],[Fecha]])</f>
        <v>19</v>
      </c>
      <c r="G876">
        <f>+YEAR(export?format_csv_gid_612082435[[#This Row],[Fecha]])</f>
        <v>2026</v>
      </c>
      <c r="H876" t="str">
        <f>+VLOOKUP(export?format_csv_gid_612082435[[#This Row],[Valor]],Listas!A:B,2,FALSE)</f>
        <v>Asistencia</v>
      </c>
    </row>
    <row r="877" spans="1:8" x14ac:dyDescent="0.3">
      <c r="A877" t="s">
        <v>72</v>
      </c>
      <c r="B877" t="s">
        <v>98</v>
      </c>
      <c r="C877" t="s">
        <v>145</v>
      </c>
      <c r="D877" s="19">
        <v>46150</v>
      </c>
      <c r="E877" t="s">
        <v>76</v>
      </c>
      <c r="F877">
        <f>+_xlfn.ISOWEEKNUM(export?format_csv_gid_612082435[[#This Row],[Fecha]])</f>
        <v>19</v>
      </c>
      <c r="G877">
        <f>+YEAR(export?format_csv_gid_612082435[[#This Row],[Fecha]])</f>
        <v>2026</v>
      </c>
      <c r="H877" t="str">
        <f>+VLOOKUP(export?format_csv_gid_612082435[[#This Row],[Valor]],Listas!A:B,2,FALSE)</f>
        <v>Asistencia</v>
      </c>
    </row>
    <row r="878" spans="1:8" x14ac:dyDescent="0.3">
      <c r="A878" t="s">
        <v>72</v>
      </c>
      <c r="B878" t="s">
        <v>98</v>
      </c>
      <c r="C878" t="s">
        <v>145</v>
      </c>
      <c r="D878" s="19">
        <v>46151</v>
      </c>
      <c r="E878" t="s">
        <v>76</v>
      </c>
      <c r="F878">
        <f>+_xlfn.ISOWEEKNUM(export?format_csv_gid_612082435[[#This Row],[Fecha]])</f>
        <v>19</v>
      </c>
      <c r="G878">
        <f>+YEAR(export?format_csv_gid_612082435[[#This Row],[Fecha]])</f>
        <v>2026</v>
      </c>
      <c r="H878" t="str">
        <f>+VLOOKUP(export?format_csv_gid_612082435[[#This Row],[Valor]],Listas!A:B,2,FALSE)</f>
        <v>Asistencia</v>
      </c>
    </row>
    <row r="879" spans="1:8" x14ac:dyDescent="0.3">
      <c r="A879" t="s">
        <v>72</v>
      </c>
      <c r="B879" t="s">
        <v>98</v>
      </c>
      <c r="C879" t="s">
        <v>145</v>
      </c>
      <c r="D879" s="19">
        <v>46152</v>
      </c>
      <c r="E879" t="s">
        <v>113</v>
      </c>
      <c r="F879">
        <f>+_xlfn.ISOWEEKNUM(export?format_csv_gid_612082435[[#This Row],[Fecha]])</f>
        <v>19</v>
      </c>
      <c r="G879">
        <f>+YEAR(export?format_csv_gid_612082435[[#This Row],[Fecha]])</f>
        <v>2026</v>
      </c>
      <c r="H879" t="str">
        <f>+VLOOKUP(export?format_csv_gid_612082435[[#This Row],[Valor]],Listas!A:B,2,FALSE)</f>
        <v>D. Remunerado</v>
      </c>
    </row>
    <row r="880" spans="1:8" x14ac:dyDescent="0.3">
      <c r="A880" t="s">
        <v>72</v>
      </c>
      <c r="B880" t="s">
        <v>98</v>
      </c>
      <c r="C880" t="s">
        <v>145</v>
      </c>
      <c r="D880" s="19">
        <v>46153</v>
      </c>
      <c r="E880" t="s">
        <v>76</v>
      </c>
      <c r="F880">
        <f>+_xlfn.ISOWEEKNUM(export?format_csv_gid_612082435[[#This Row],[Fecha]])</f>
        <v>20</v>
      </c>
      <c r="G880">
        <f>+YEAR(export?format_csv_gid_612082435[[#This Row],[Fecha]])</f>
        <v>2026</v>
      </c>
      <c r="H880" t="str">
        <f>+VLOOKUP(export?format_csv_gid_612082435[[#This Row],[Valor]],Listas!A:B,2,FALSE)</f>
        <v>Asistencia</v>
      </c>
    </row>
    <row r="881" spans="1:8" x14ac:dyDescent="0.3">
      <c r="A881" t="s">
        <v>72</v>
      </c>
      <c r="B881" t="s">
        <v>98</v>
      </c>
      <c r="C881" t="s">
        <v>145</v>
      </c>
      <c r="D881" s="19">
        <v>46154</v>
      </c>
      <c r="E881" t="s">
        <v>76</v>
      </c>
      <c r="F881">
        <f>+_xlfn.ISOWEEKNUM(export?format_csv_gid_612082435[[#This Row],[Fecha]])</f>
        <v>20</v>
      </c>
      <c r="G881">
        <f>+YEAR(export?format_csv_gid_612082435[[#This Row],[Fecha]])</f>
        <v>2026</v>
      </c>
      <c r="H881" t="str">
        <f>+VLOOKUP(export?format_csv_gid_612082435[[#This Row],[Valor]],Listas!A:B,2,FALSE)</f>
        <v>Asistencia</v>
      </c>
    </row>
    <row r="882" spans="1:8" x14ac:dyDescent="0.3">
      <c r="A882" t="s">
        <v>72</v>
      </c>
      <c r="B882" t="s">
        <v>98</v>
      </c>
      <c r="C882" t="s">
        <v>145</v>
      </c>
      <c r="D882" s="19">
        <v>46155</v>
      </c>
      <c r="E882" t="s">
        <v>76</v>
      </c>
      <c r="F882">
        <f>+_xlfn.ISOWEEKNUM(export?format_csv_gid_612082435[[#This Row],[Fecha]])</f>
        <v>20</v>
      </c>
      <c r="G882">
        <f>+YEAR(export?format_csv_gid_612082435[[#This Row],[Fecha]])</f>
        <v>2026</v>
      </c>
      <c r="H882" t="str">
        <f>+VLOOKUP(export?format_csv_gid_612082435[[#This Row],[Valor]],Listas!A:B,2,FALSE)</f>
        <v>Asistencia</v>
      </c>
    </row>
    <row r="883" spans="1:8" x14ac:dyDescent="0.3">
      <c r="A883" t="s">
        <v>72</v>
      </c>
      <c r="B883" t="s">
        <v>98</v>
      </c>
      <c r="C883" t="s">
        <v>145</v>
      </c>
      <c r="D883" s="19">
        <v>46156</v>
      </c>
      <c r="E883" t="s">
        <v>76</v>
      </c>
      <c r="F883">
        <f>+_xlfn.ISOWEEKNUM(export?format_csv_gid_612082435[[#This Row],[Fecha]])</f>
        <v>20</v>
      </c>
      <c r="G883">
        <f>+YEAR(export?format_csv_gid_612082435[[#This Row],[Fecha]])</f>
        <v>2026</v>
      </c>
      <c r="H883" t="str">
        <f>+VLOOKUP(export?format_csv_gid_612082435[[#This Row],[Valor]],Listas!A:B,2,FALSE)</f>
        <v>Asistencia</v>
      </c>
    </row>
    <row r="884" spans="1:8" x14ac:dyDescent="0.3">
      <c r="A884" t="s">
        <v>72</v>
      </c>
      <c r="B884" t="s">
        <v>98</v>
      </c>
      <c r="C884" t="s">
        <v>145</v>
      </c>
      <c r="D884" s="19">
        <v>46157</v>
      </c>
      <c r="E884" t="s">
        <v>77</v>
      </c>
      <c r="F884">
        <f>+_xlfn.ISOWEEKNUM(export?format_csv_gid_612082435[[#This Row],[Fecha]])</f>
        <v>20</v>
      </c>
      <c r="G884">
        <f>+YEAR(export?format_csv_gid_612082435[[#This Row],[Fecha]])</f>
        <v>2026</v>
      </c>
      <c r="H884" t="e">
        <f>+VLOOKUP(export?format_csv_gid_612082435[[#This Row],[Valor]],Listas!A:B,2,FALSE)</f>
        <v>#N/A</v>
      </c>
    </row>
    <row r="885" spans="1:8" x14ac:dyDescent="0.3">
      <c r="A885" t="s">
        <v>72</v>
      </c>
      <c r="B885" t="s">
        <v>98</v>
      </c>
      <c r="C885" t="s">
        <v>145</v>
      </c>
      <c r="D885" s="19">
        <v>46158</v>
      </c>
      <c r="E885" t="s">
        <v>77</v>
      </c>
      <c r="F885">
        <f>+_xlfn.ISOWEEKNUM(export?format_csv_gid_612082435[[#This Row],[Fecha]])</f>
        <v>20</v>
      </c>
      <c r="G885">
        <f>+YEAR(export?format_csv_gid_612082435[[#This Row],[Fecha]])</f>
        <v>2026</v>
      </c>
      <c r="H885" t="e">
        <f>+VLOOKUP(export?format_csv_gid_612082435[[#This Row],[Valor]],Listas!A:B,2,FALSE)</f>
        <v>#N/A</v>
      </c>
    </row>
    <row r="886" spans="1:8" x14ac:dyDescent="0.3">
      <c r="A886" t="s">
        <v>72</v>
      </c>
      <c r="B886" t="s">
        <v>98</v>
      </c>
      <c r="C886" t="s">
        <v>145</v>
      </c>
      <c r="D886" s="19">
        <v>46159</v>
      </c>
      <c r="E886" t="s">
        <v>77</v>
      </c>
      <c r="F886">
        <f>+_xlfn.ISOWEEKNUM(export?format_csv_gid_612082435[[#This Row],[Fecha]])</f>
        <v>20</v>
      </c>
      <c r="G886">
        <f>+YEAR(export?format_csv_gid_612082435[[#This Row],[Fecha]])</f>
        <v>2026</v>
      </c>
      <c r="H886" t="e">
        <f>+VLOOKUP(export?format_csv_gid_612082435[[#This Row],[Valor]],Listas!A:B,2,FALSE)</f>
        <v>#N/A</v>
      </c>
    </row>
    <row r="887" spans="1:8" x14ac:dyDescent="0.3">
      <c r="A887" t="s">
        <v>72</v>
      </c>
      <c r="B887" t="s">
        <v>98</v>
      </c>
      <c r="C887" t="s">
        <v>145</v>
      </c>
      <c r="D887" s="19">
        <v>46160</v>
      </c>
      <c r="E887" t="s">
        <v>77</v>
      </c>
      <c r="F887">
        <f>+_xlfn.ISOWEEKNUM(export?format_csv_gid_612082435[[#This Row],[Fecha]])</f>
        <v>21</v>
      </c>
      <c r="G887">
        <f>+YEAR(export?format_csv_gid_612082435[[#This Row],[Fecha]])</f>
        <v>2026</v>
      </c>
      <c r="H887" t="e">
        <f>+VLOOKUP(export?format_csv_gid_612082435[[#This Row],[Valor]],Listas!A:B,2,FALSE)</f>
        <v>#N/A</v>
      </c>
    </row>
    <row r="888" spans="1:8" x14ac:dyDescent="0.3">
      <c r="A888" t="s">
        <v>72</v>
      </c>
      <c r="B888" t="s">
        <v>98</v>
      </c>
      <c r="C888" t="s">
        <v>145</v>
      </c>
      <c r="D888" s="19">
        <v>46161</v>
      </c>
      <c r="E888" t="s">
        <v>77</v>
      </c>
      <c r="F888">
        <f>+_xlfn.ISOWEEKNUM(export?format_csv_gid_612082435[[#This Row],[Fecha]])</f>
        <v>21</v>
      </c>
      <c r="G888">
        <f>+YEAR(export?format_csv_gid_612082435[[#This Row],[Fecha]])</f>
        <v>2026</v>
      </c>
      <c r="H888" t="e">
        <f>+VLOOKUP(export?format_csv_gid_612082435[[#This Row],[Valor]],Listas!A:B,2,FALSE)</f>
        <v>#N/A</v>
      </c>
    </row>
    <row r="889" spans="1:8" x14ac:dyDescent="0.3">
      <c r="A889" t="s">
        <v>72</v>
      </c>
      <c r="B889" t="s">
        <v>98</v>
      </c>
      <c r="C889" t="s">
        <v>145</v>
      </c>
      <c r="D889" s="19">
        <v>46162</v>
      </c>
      <c r="E889" t="s">
        <v>77</v>
      </c>
      <c r="F889">
        <f>+_xlfn.ISOWEEKNUM(export?format_csv_gid_612082435[[#This Row],[Fecha]])</f>
        <v>21</v>
      </c>
      <c r="G889">
        <f>+YEAR(export?format_csv_gid_612082435[[#This Row],[Fecha]])</f>
        <v>2026</v>
      </c>
      <c r="H889" t="e">
        <f>+VLOOKUP(export?format_csv_gid_612082435[[#This Row],[Valor]],Listas!A:B,2,FALSE)</f>
        <v>#N/A</v>
      </c>
    </row>
    <row r="890" spans="1:8" x14ac:dyDescent="0.3">
      <c r="A890" t="s">
        <v>72</v>
      </c>
      <c r="B890" t="s">
        <v>98</v>
      </c>
      <c r="C890" t="s">
        <v>145</v>
      </c>
      <c r="D890" s="19">
        <v>46163</v>
      </c>
      <c r="E890" t="s">
        <v>77</v>
      </c>
      <c r="F890">
        <f>+_xlfn.ISOWEEKNUM(export?format_csv_gid_612082435[[#This Row],[Fecha]])</f>
        <v>21</v>
      </c>
      <c r="G890">
        <f>+YEAR(export?format_csv_gid_612082435[[#This Row],[Fecha]])</f>
        <v>2026</v>
      </c>
      <c r="H890" t="e">
        <f>+VLOOKUP(export?format_csv_gid_612082435[[#This Row],[Valor]],Listas!A:B,2,FALSE)</f>
        <v>#N/A</v>
      </c>
    </row>
    <row r="891" spans="1:8" x14ac:dyDescent="0.3">
      <c r="A891" t="s">
        <v>72</v>
      </c>
      <c r="B891" t="s">
        <v>98</v>
      </c>
      <c r="C891" t="s">
        <v>145</v>
      </c>
      <c r="D891" s="19">
        <v>46164</v>
      </c>
      <c r="E891" t="s">
        <v>77</v>
      </c>
      <c r="F891">
        <f>+_xlfn.ISOWEEKNUM(export?format_csv_gid_612082435[[#This Row],[Fecha]])</f>
        <v>21</v>
      </c>
      <c r="G891">
        <f>+YEAR(export?format_csv_gid_612082435[[#This Row],[Fecha]])</f>
        <v>2026</v>
      </c>
      <c r="H891" t="e">
        <f>+VLOOKUP(export?format_csv_gid_612082435[[#This Row],[Valor]],Listas!A:B,2,FALSE)</f>
        <v>#N/A</v>
      </c>
    </row>
    <row r="892" spans="1:8" x14ac:dyDescent="0.3">
      <c r="A892" t="s">
        <v>72</v>
      </c>
      <c r="B892" t="s">
        <v>98</v>
      </c>
      <c r="C892" t="s">
        <v>145</v>
      </c>
      <c r="D892" s="19">
        <v>46165</v>
      </c>
      <c r="E892" t="s">
        <v>77</v>
      </c>
      <c r="F892">
        <f>+_xlfn.ISOWEEKNUM(export?format_csv_gid_612082435[[#This Row],[Fecha]])</f>
        <v>21</v>
      </c>
      <c r="G892">
        <f>+YEAR(export?format_csv_gid_612082435[[#This Row],[Fecha]])</f>
        <v>2026</v>
      </c>
      <c r="H892" t="e">
        <f>+VLOOKUP(export?format_csv_gid_612082435[[#This Row],[Valor]],Listas!A:B,2,FALSE)</f>
        <v>#N/A</v>
      </c>
    </row>
    <row r="893" spans="1:8" x14ac:dyDescent="0.3">
      <c r="A893" t="s">
        <v>72</v>
      </c>
      <c r="B893" t="s">
        <v>98</v>
      </c>
      <c r="C893" t="s">
        <v>145</v>
      </c>
      <c r="D893" s="19">
        <v>46166</v>
      </c>
      <c r="E893" t="s">
        <v>77</v>
      </c>
      <c r="F893">
        <f>+_xlfn.ISOWEEKNUM(export?format_csv_gid_612082435[[#This Row],[Fecha]])</f>
        <v>21</v>
      </c>
      <c r="G893">
        <f>+YEAR(export?format_csv_gid_612082435[[#This Row],[Fecha]])</f>
        <v>2026</v>
      </c>
      <c r="H893" t="e">
        <f>+VLOOKUP(export?format_csv_gid_612082435[[#This Row],[Valor]],Listas!A:B,2,FALSE)</f>
        <v>#N/A</v>
      </c>
    </row>
    <row r="894" spans="1:8" x14ac:dyDescent="0.3">
      <c r="A894" t="s">
        <v>72</v>
      </c>
      <c r="B894" t="s">
        <v>98</v>
      </c>
      <c r="C894" t="s">
        <v>145</v>
      </c>
      <c r="D894" s="19">
        <v>46167</v>
      </c>
      <c r="E894" t="s">
        <v>77</v>
      </c>
      <c r="F894">
        <f>+_xlfn.ISOWEEKNUM(export?format_csv_gid_612082435[[#This Row],[Fecha]])</f>
        <v>22</v>
      </c>
      <c r="G894">
        <f>+YEAR(export?format_csv_gid_612082435[[#This Row],[Fecha]])</f>
        <v>2026</v>
      </c>
      <c r="H894" t="e">
        <f>+VLOOKUP(export?format_csv_gid_612082435[[#This Row],[Valor]],Listas!A:B,2,FALSE)</f>
        <v>#N/A</v>
      </c>
    </row>
    <row r="895" spans="1:8" x14ac:dyDescent="0.3">
      <c r="A895" t="s">
        <v>72</v>
      </c>
      <c r="B895" t="s">
        <v>98</v>
      </c>
      <c r="C895" t="s">
        <v>145</v>
      </c>
      <c r="D895" s="19">
        <v>46168</v>
      </c>
      <c r="E895" t="s">
        <v>77</v>
      </c>
      <c r="F895">
        <f>+_xlfn.ISOWEEKNUM(export?format_csv_gid_612082435[[#This Row],[Fecha]])</f>
        <v>22</v>
      </c>
      <c r="G895">
        <f>+YEAR(export?format_csv_gid_612082435[[#This Row],[Fecha]])</f>
        <v>2026</v>
      </c>
      <c r="H895" t="e">
        <f>+VLOOKUP(export?format_csv_gid_612082435[[#This Row],[Valor]],Listas!A:B,2,FALSE)</f>
        <v>#N/A</v>
      </c>
    </row>
    <row r="896" spans="1:8" x14ac:dyDescent="0.3">
      <c r="A896" t="s">
        <v>72</v>
      </c>
      <c r="B896" t="s">
        <v>98</v>
      </c>
      <c r="C896" t="s">
        <v>145</v>
      </c>
      <c r="D896" s="19">
        <v>46169</v>
      </c>
      <c r="E896" t="s">
        <v>77</v>
      </c>
      <c r="F896">
        <f>+_xlfn.ISOWEEKNUM(export?format_csv_gid_612082435[[#This Row],[Fecha]])</f>
        <v>22</v>
      </c>
      <c r="G896">
        <f>+YEAR(export?format_csv_gid_612082435[[#This Row],[Fecha]])</f>
        <v>2026</v>
      </c>
      <c r="H896" t="e">
        <f>+VLOOKUP(export?format_csv_gid_612082435[[#This Row],[Valor]],Listas!A:B,2,FALSE)</f>
        <v>#N/A</v>
      </c>
    </row>
    <row r="897" spans="1:8" x14ac:dyDescent="0.3">
      <c r="A897" t="s">
        <v>72</v>
      </c>
      <c r="B897" t="s">
        <v>98</v>
      </c>
      <c r="C897" t="s">
        <v>145</v>
      </c>
      <c r="D897" s="19">
        <v>46170</v>
      </c>
      <c r="E897" t="s">
        <v>77</v>
      </c>
      <c r="F897">
        <f>+_xlfn.ISOWEEKNUM(export?format_csv_gid_612082435[[#This Row],[Fecha]])</f>
        <v>22</v>
      </c>
      <c r="G897">
        <f>+YEAR(export?format_csv_gid_612082435[[#This Row],[Fecha]])</f>
        <v>2026</v>
      </c>
      <c r="H897" t="e">
        <f>+VLOOKUP(export?format_csv_gid_612082435[[#This Row],[Valor]],Listas!A:B,2,FALSE)</f>
        <v>#N/A</v>
      </c>
    </row>
    <row r="898" spans="1:8" x14ac:dyDescent="0.3">
      <c r="A898" t="s">
        <v>72</v>
      </c>
      <c r="B898" t="s">
        <v>98</v>
      </c>
      <c r="C898" t="s">
        <v>145</v>
      </c>
      <c r="D898" s="19">
        <v>46171</v>
      </c>
      <c r="E898" t="s">
        <v>77</v>
      </c>
      <c r="F898">
        <f>+_xlfn.ISOWEEKNUM(export?format_csv_gid_612082435[[#This Row],[Fecha]])</f>
        <v>22</v>
      </c>
      <c r="G898">
        <f>+YEAR(export?format_csv_gid_612082435[[#This Row],[Fecha]])</f>
        <v>2026</v>
      </c>
      <c r="H898" t="e">
        <f>+VLOOKUP(export?format_csv_gid_612082435[[#This Row],[Valor]],Listas!A:B,2,FALSE)</f>
        <v>#N/A</v>
      </c>
    </row>
    <row r="899" spans="1:8" x14ac:dyDescent="0.3">
      <c r="A899" t="s">
        <v>72</v>
      </c>
      <c r="B899" t="s">
        <v>98</v>
      </c>
      <c r="C899" t="s">
        <v>145</v>
      </c>
      <c r="D899" s="19">
        <v>46172</v>
      </c>
      <c r="E899" t="s">
        <v>77</v>
      </c>
      <c r="F899">
        <f>+_xlfn.ISOWEEKNUM(export?format_csv_gid_612082435[[#This Row],[Fecha]])</f>
        <v>22</v>
      </c>
      <c r="G899">
        <f>+YEAR(export?format_csv_gid_612082435[[#This Row],[Fecha]])</f>
        <v>2026</v>
      </c>
      <c r="H899" t="e">
        <f>+VLOOKUP(export?format_csv_gid_612082435[[#This Row],[Valor]],Listas!A:B,2,FALSE)</f>
        <v>#N/A</v>
      </c>
    </row>
    <row r="900" spans="1:8" x14ac:dyDescent="0.3">
      <c r="A900" t="s">
        <v>72</v>
      </c>
      <c r="B900" t="s">
        <v>98</v>
      </c>
      <c r="C900" t="s">
        <v>145</v>
      </c>
      <c r="D900" s="19">
        <v>46173</v>
      </c>
      <c r="E900" t="s">
        <v>77</v>
      </c>
      <c r="F900">
        <f>+_xlfn.ISOWEEKNUM(export?format_csv_gid_612082435[[#This Row],[Fecha]])</f>
        <v>22</v>
      </c>
      <c r="G900">
        <f>+YEAR(export?format_csv_gid_612082435[[#This Row],[Fecha]])</f>
        <v>2026</v>
      </c>
      <c r="H900" t="e">
        <f>+VLOOKUP(export?format_csv_gid_612082435[[#This Row],[Valor]],Listas!A:B,2,FALSE)</f>
        <v>#N/A</v>
      </c>
    </row>
    <row r="901" spans="1:8" hidden="1" x14ac:dyDescent="0.3">
      <c r="A901" t="s">
        <v>83</v>
      </c>
      <c r="B901" t="s">
        <v>98</v>
      </c>
      <c r="C901" t="s">
        <v>99</v>
      </c>
      <c r="D901" s="19">
        <v>46143</v>
      </c>
      <c r="E901" t="s">
        <v>85</v>
      </c>
      <c r="F901">
        <f>+_xlfn.ISOWEEKNUM(export?format_csv_gid_612082435[[#This Row],[Fecha]])</f>
        <v>18</v>
      </c>
      <c r="G901">
        <f>+YEAR(export?format_csv_gid_612082435[[#This Row],[Fecha]])</f>
        <v>2026</v>
      </c>
      <c r="H901" t="e">
        <f>+VLOOKUP(export?format_csv_gid_612082435[[#This Row],[Valor]],Listas!A:B,2,FALSE)</f>
        <v>#N/A</v>
      </c>
    </row>
    <row r="902" spans="1:8" hidden="1" x14ac:dyDescent="0.3">
      <c r="A902" t="s">
        <v>83</v>
      </c>
      <c r="B902" t="s">
        <v>98</v>
      </c>
      <c r="C902" t="s">
        <v>99</v>
      </c>
      <c r="D902" s="19">
        <v>46144</v>
      </c>
      <c r="E902" t="s">
        <v>85</v>
      </c>
      <c r="F902">
        <f>+_xlfn.ISOWEEKNUM(export?format_csv_gid_612082435[[#This Row],[Fecha]])</f>
        <v>18</v>
      </c>
      <c r="G902">
        <f>+YEAR(export?format_csv_gid_612082435[[#This Row],[Fecha]])</f>
        <v>2026</v>
      </c>
      <c r="H902" t="e">
        <f>+VLOOKUP(export?format_csv_gid_612082435[[#This Row],[Valor]],Listas!A:B,2,FALSE)</f>
        <v>#N/A</v>
      </c>
    </row>
    <row r="903" spans="1:8" hidden="1" x14ac:dyDescent="0.3">
      <c r="A903" t="s">
        <v>83</v>
      </c>
      <c r="B903" t="s">
        <v>98</v>
      </c>
      <c r="C903" t="s">
        <v>99</v>
      </c>
      <c r="D903" s="19">
        <v>46145</v>
      </c>
      <c r="E903" t="s">
        <v>85</v>
      </c>
      <c r="F903">
        <f>+_xlfn.ISOWEEKNUM(export?format_csv_gid_612082435[[#This Row],[Fecha]])</f>
        <v>18</v>
      </c>
      <c r="G903">
        <f>+YEAR(export?format_csv_gid_612082435[[#This Row],[Fecha]])</f>
        <v>2026</v>
      </c>
      <c r="H903" t="e">
        <f>+VLOOKUP(export?format_csv_gid_612082435[[#This Row],[Valor]],Listas!A:B,2,FALSE)</f>
        <v>#N/A</v>
      </c>
    </row>
    <row r="904" spans="1:8" hidden="1" x14ac:dyDescent="0.3">
      <c r="A904" t="s">
        <v>83</v>
      </c>
      <c r="B904" t="s">
        <v>98</v>
      </c>
      <c r="C904" t="s">
        <v>99</v>
      </c>
      <c r="D904" s="19">
        <v>46146</v>
      </c>
      <c r="E904" t="s">
        <v>85</v>
      </c>
      <c r="F904">
        <f>+_xlfn.ISOWEEKNUM(export?format_csv_gid_612082435[[#This Row],[Fecha]])</f>
        <v>19</v>
      </c>
      <c r="G904">
        <f>+YEAR(export?format_csv_gid_612082435[[#This Row],[Fecha]])</f>
        <v>2026</v>
      </c>
      <c r="H904" t="e">
        <f>+VLOOKUP(export?format_csv_gid_612082435[[#This Row],[Valor]],Listas!A:B,2,FALSE)</f>
        <v>#N/A</v>
      </c>
    </row>
    <row r="905" spans="1:8" hidden="1" x14ac:dyDescent="0.3">
      <c r="A905" t="s">
        <v>83</v>
      </c>
      <c r="B905" t="s">
        <v>98</v>
      </c>
      <c r="C905" t="s">
        <v>99</v>
      </c>
      <c r="D905" s="19">
        <v>46147</v>
      </c>
      <c r="E905" t="s">
        <v>85</v>
      </c>
      <c r="F905">
        <f>+_xlfn.ISOWEEKNUM(export?format_csv_gid_612082435[[#This Row],[Fecha]])</f>
        <v>19</v>
      </c>
      <c r="G905">
        <f>+YEAR(export?format_csv_gid_612082435[[#This Row],[Fecha]])</f>
        <v>2026</v>
      </c>
      <c r="H905" t="e">
        <f>+VLOOKUP(export?format_csv_gid_612082435[[#This Row],[Valor]],Listas!A:B,2,FALSE)</f>
        <v>#N/A</v>
      </c>
    </row>
    <row r="906" spans="1:8" hidden="1" x14ac:dyDescent="0.3">
      <c r="A906" t="s">
        <v>83</v>
      </c>
      <c r="B906" t="s">
        <v>98</v>
      </c>
      <c r="C906" t="s">
        <v>99</v>
      </c>
      <c r="D906" s="19">
        <v>46148</v>
      </c>
      <c r="E906" t="s">
        <v>85</v>
      </c>
      <c r="F906">
        <f>+_xlfn.ISOWEEKNUM(export?format_csv_gid_612082435[[#This Row],[Fecha]])</f>
        <v>19</v>
      </c>
      <c r="G906">
        <f>+YEAR(export?format_csv_gid_612082435[[#This Row],[Fecha]])</f>
        <v>2026</v>
      </c>
      <c r="H906" t="e">
        <f>+VLOOKUP(export?format_csv_gid_612082435[[#This Row],[Valor]],Listas!A:B,2,FALSE)</f>
        <v>#N/A</v>
      </c>
    </row>
    <row r="907" spans="1:8" hidden="1" x14ac:dyDescent="0.3">
      <c r="A907" t="s">
        <v>83</v>
      </c>
      <c r="B907" t="s">
        <v>98</v>
      </c>
      <c r="C907" t="s">
        <v>99</v>
      </c>
      <c r="D907" s="19">
        <v>46149</v>
      </c>
      <c r="E907" t="s">
        <v>85</v>
      </c>
      <c r="F907">
        <f>+_xlfn.ISOWEEKNUM(export?format_csv_gid_612082435[[#This Row],[Fecha]])</f>
        <v>19</v>
      </c>
      <c r="G907">
        <f>+YEAR(export?format_csv_gid_612082435[[#This Row],[Fecha]])</f>
        <v>2026</v>
      </c>
      <c r="H907" t="e">
        <f>+VLOOKUP(export?format_csv_gid_612082435[[#This Row],[Valor]],Listas!A:B,2,FALSE)</f>
        <v>#N/A</v>
      </c>
    </row>
    <row r="908" spans="1:8" hidden="1" x14ac:dyDescent="0.3">
      <c r="A908" t="s">
        <v>83</v>
      </c>
      <c r="B908" t="s">
        <v>98</v>
      </c>
      <c r="C908" t="s">
        <v>99</v>
      </c>
      <c r="D908" s="19">
        <v>46150</v>
      </c>
      <c r="E908" t="s">
        <v>85</v>
      </c>
      <c r="F908">
        <f>+_xlfn.ISOWEEKNUM(export?format_csv_gid_612082435[[#This Row],[Fecha]])</f>
        <v>19</v>
      </c>
      <c r="G908">
        <f>+YEAR(export?format_csv_gid_612082435[[#This Row],[Fecha]])</f>
        <v>2026</v>
      </c>
      <c r="H908" t="e">
        <f>+VLOOKUP(export?format_csv_gid_612082435[[#This Row],[Valor]],Listas!A:B,2,FALSE)</f>
        <v>#N/A</v>
      </c>
    </row>
    <row r="909" spans="1:8" hidden="1" x14ac:dyDescent="0.3">
      <c r="A909" t="s">
        <v>83</v>
      </c>
      <c r="B909" t="s">
        <v>98</v>
      </c>
      <c r="C909" t="s">
        <v>99</v>
      </c>
      <c r="D909" s="19">
        <v>46151</v>
      </c>
      <c r="E909" t="s">
        <v>85</v>
      </c>
      <c r="F909">
        <f>+_xlfn.ISOWEEKNUM(export?format_csv_gid_612082435[[#This Row],[Fecha]])</f>
        <v>19</v>
      </c>
      <c r="G909">
        <f>+YEAR(export?format_csv_gid_612082435[[#This Row],[Fecha]])</f>
        <v>2026</v>
      </c>
      <c r="H909" t="e">
        <f>+VLOOKUP(export?format_csv_gid_612082435[[#This Row],[Valor]],Listas!A:B,2,FALSE)</f>
        <v>#N/A</v>
      </c>
    </row>
    <row r="910" spans="1:8" hidden="1" x14ac:dyDescent="0.3">
      <c r="A910" t="s">
        <v>83</v>
      </c>
      <c r="B910" t="s">
        <v>98</v>
      </c>
      <c r="C910" t="s">
        <v>99</v>
      </c>
      <c r="D910" s="19">
        <v>46152</v>
      </c>
      <c r="E910" t="s">
        <v>85</v>
      </c>
      <c r="F910">
        <f>+_xlfn.ISOWEEKNUM(export?format_csv_gid_612082435[[#This Row],[Fecha]])</f>
        <v>19</v>
      </c>
      <c r="G910">
        <f>+YEAR(export?format_csv_gid_612082435[[#This Row],[Fecha]])</f>
        <v>2026</v>
      </c>
      <c r="H910" t="e">
        <f>+VLOOKUP(export?format_csv_gid_612082435[[#This Row],[Valor]],Listas!A:B,2,FALSE)</f>
        <v>#N/A</v>
      </c>
    </row>
    <row r="911" spans="1:8" hidden="1" x14ac:dyDescent="0.3">
      <c r="A911" t="s">
        <v>83</v>
      </c>
      <c r="B911" t="s">
        <v>98</v>
      </c>
      <c r="C911" t="s">
        <v>99</v>
      </c>
      <c r="D911" s="19">
        <v>46153</v>
      </c>
      <c r="E911" t="s">
        <v>85</v>
      </c>
      <c r="F911">
        <f>+_xlfn.ISOWEEKNUM(export?format_csv_gid_612082435[[#This Row],[Fecha]])</f>
        <v>20</v>
      </c>
      <c r="G911">
        <f>+YEAR(export?format_csv_gid_612082435[[#This Row],[Fecha]])</f>
        <v>2026</v>
      </c>
      <c r="H911" t="e">
        <f>+VLOOKUP(export?format_csv_gid_612082435[[#This Row],[Valor]],Listas!A:B,2,FALSE)</f>
        <v>#N/A</v>
      </c>
    </row>
    <row r="912" spans="1:8" hidden="1" x14ac:dyDescent="0.3">
      <c r="A912" t="s">
        <v>83</v>
      </c>
      <c r="B912" t="s">
        <v>98</v>
      </c>
      <c r="C912" t="s">
        <v>99</v>
      </c>
      <c r="D912" s="19">
        <v>46154</v>
      </c>
      <c r="E912" t="s">
        <v>85</v>
      </c>
      <c r="F912">
        <f>+_xlfn.ISOWEEKNUM(export?format_csv_gid_612082435[[#This Row],[Fecha]])</f>
        <v>20</v>
      </c>
      <c r="G912">
        <f>+YEAR(export?format_csv_gid_612082435[[#This Row],[Fecha]])</f>
        <v>2026</v>
      </c>
      <c r="H912" t="e">
        <f>+VLOOKUP(export?format_csv_gid_612082435[[#This Row],[Valor]],Listas!A:B,2,FALSE)</f>
        <v>#N/A</v>
      </c>
    </row>
    <row r="913" spans="1:8" hidden="1" x14ac:dyDescent="0.3">
      <c r="A913" t="s">
        <v>83</v>
      </c>
      <c r="B913" t="s">
        <v>98</v>
      </c>
      <c r="C913" t="s">
        <v>99</v>
      </c>
      <c r="D913" s="19">
        <v>46155</v>
      </c>
      <c r="E913" t="s">
        <v>77</v>
      </c>
      <c r="F913">
        <f>+_xlfn.ISOWEEKNUM(export?format_csv_gid_612082435[[#This Row],[Fecha]])</f>
        <v>20</v>
      </c>
      <c r="G913">
        <f>+YEAR(export?format_csv_gid_612082435[[#This Row],[Fecha]])</f>
        <v>2026</v>
      </c>
      <c r="H913" t="e">
        <f>+VLOOKUP(export?format_csv_gid_612082435[[#This Row],[Valor]],Listas!A:B,2,FALSE)</f>
        <v>#N/A</v>
      </c>
    </row>
    <row r="914" spans="1:8" hidden="1" x14ac:dyDescent="0.3">
      <c r="A914" t="s">
        <v>83</v>
      </c>
      <c r="B914" t="s">
        <v>98</v>
      </c>
      <c r="C914" t="s">
        <v>99</v>
      </c>
      <c r="D914" s="19">
        <v>46156</v>
      </c>
      <c r="E914" t="s">
        <v>77</v>
      </c>
      <c r="F914">
        <f>+_xlfn.ISOWEEKNUM(export?format_csv_gid_612082435[[#This Row],[Fecha]])</f>
        <v>20</v>
      </c>
      <c r="G914">
        <f>+YEAR(export?format_csv_gid_612082435[[#This Row],[Fecha]])</f>
        <v>2026</v>
      </c>
      <c r="H914" t="e">
        <f>+VLOOKUP(export?format_csv_gid_612082435[[#This Row],[Valor]],Listas!A:B,2,FALSE)</f>
        <v>#N/A</v>
      </c>
    </row>
    <row r="915" spans="1:8" hidden="1" x14ac:dyDescent="0.3">
      <c r="A915" t="s">
        <v>83</v>
      </c>
      <c r="B915" t="s">
        <v>98</v>
      </c>
      <c r="C915" t="s">
        <v>99</v>
      </c>
      <c r="D915" s="19">
        <v>46157</v>
      </c>
      <c r="E915" t="s">
        <v>77</v>
      </c>
      <c r="F915">
        <f>+_xlfn.ISOWEEKNUM(export?format_csv_gid_612082435[[#This Row],[Fecha]])</f>
        <v>20</v>
      </c>
      <c r="G915">
        <f>+YEAR(export?format_csv_gid_612082435[[#This Row],[Fecha]])</f>
        <v>2026</v>
      </c>
      <c r="H915" t="e">
        <f>+VLOOKUP(export?format_csv_gid_612082435[[#This Row],[Valor]],Listas!A:B,2,FALSE)</f>
        <v>#N/A</v>
      </c>
    </row>
    <row r="916" spans="1:8" hidden="1" x14ac:dyDescent="0.3">
      <c r="A916" t="s">
        <v>83</v>
      </c>
      <c r="B916" t="s">
        <v>98</v>
      </c>
      <c r="C916" t="s">
        <v>99</v>
      </c>
      <c r="D916" s="19">
        <v>46158</v>
      </c>
      <c r="E916" t="s">
        <v>77</v>
      </c>
      <c r="F916">
        <f>+_xlfn.ISOWEEKNUM(export?format_csv_gid_612082435[[#This Row],[Fecha]])</f>
        <v>20</v>
      </c>
      <c r="G916">
        <f>+YEAR(export?format_csv_gid_612082435[[#This Row],[Fecha]])</f>
        <v>2026</v>
      </c>
      <c r="H916" t="e">
        <f>+VLOOKUP(export?format_csv_gid_612082435[[#This Row],[Valor]],Listas!A:B,2,FALSE)</f>
        <v>#N/A</v>
      </c>
    </row>
    <row r="917" spans="1:8" hidden="1" x14ac:dyDescent="0.3">
      <c r="A917" t="s">
        <v>83</v>
      </c>
      <c r="B917" t="s">
        <v>98</v>
      </c>
      <c r="C917" t="s">
        <v>99</v>
      </c>
      <c r="D917" s="19">
        <v>46159</v>
      </c>
      <c r="E917" t="s">
        <v>77</v>
      </c>
      <c r="F917">
        <f>+_xlfn.ISOWEEKNUM(export?format_csv_gid_612082435[[#This Row],[Fecha]])</f>
        <v>20</v>
      </c>
      <c r="G917">
        <f>+YEAR(export?format_csv_gid_612082435[[#This Row],[Fecha]])</f>
        <v>2026</v>
      </c>
      <c r="H917" t="e">
        <f>+VLOOKUP(export?format_csv_gid_612082435[[#This Row],[Valor]],Listas!A:B,2,FALSE)</f>
        <v>#N/A</v>
      </c>
    </row>
    <row r="918" spans="1:8" hidden="1" x14ac:dyDescent="0.3">
      <c r="A918" t="s">
        <v>83</v>
      </c>
      <c r="B918" t="s">
        <v>98</v>
      </c>
      <c r="C918" t="s">
        <v>99</v>
      </c>
      <c r="D918" s="19">
        <v>46160</v>
      </c>
      <c r="E918" t="s">
        <v>77</v>
      </c>
      <c r="F918">
        <f>+_xlfn.ISOWEEKNUM(export?format_csv_gid_612082435[[#This Row],[Fecha]])</f>
        <v>21</v>
      </c>
      <c r="G918">
        <f>+YEAR(export?format_csv_gid_612082435[[#This Row],[Fecha]])</f>
        <v>2026</v>
      </c>
      <c r="H918" t="e">
        <f>+VLOOKUP(export?format_csv_gid_612082435[[#This Row],[Valor]],Listas!A:B,2,FALSE)</f>
        <v>#N/A</v>
      </c>
    </row>
    <row r="919" spans="1:8" hidden="1" x14ac:dyDescent="0.3">
      <c r="A919" t="s">
        <v>83</v>
      </c>
      <c r="B919" t="s">
        <v>98</v>
      </c>
      <c r="C919" t="s">
        <v>99</v>
      </c>
      <c r="D919" s="19">
        <v>46161</v>
      </c>
      <c r="E919" t="s">
        <v>77</v>
      </c>
      <c r="F919">
        <f>+_xlfn.ISOWEEKNUM(export?format_csv_gid_612082435[[#This Row],[Fecha]])</f>
        <v>21</v>
      </c>
      <c r="G919">
        <f>+YEAR(export?format_csv_gid_612082435[[#This Row],[Fecha]])</f>
        <v>2026</v>
      </c>
      <c r="H919" t="e">
        <f>+VLOOKUP(export?format_csv_gid_612082435[[#This Row],[Valor]],Listas!A:B,2,FALSE)</f>
        <v>#N/A</v>
      </c>
    </row>
    <row r="920" spans="1:8" hidden="1" x14ac:dyDescent="0.3">
      <c r="A920" t="s">
        <v>83</v>
      </c>
      <c r="B920" t="s">
        <v>98</v>
      </c>
      <c r="C920" t="s">
        <v>99</v>
      </c>
      <c r="D920" s="19">
        <v>46162</v>
      </c>
      <c r="E920" t="s">
        <v>77</v>
      </c>
      <c r="F920">
        <f>+_xlfn.ISOWEEKNUM(export?format_csv_gid_612082435[[#This Row],[Fecha]])</f>
        <v>21</v>
      </c>
      <c r="G920">
        <f>+YEAR(export?format_csv_gid_612082435[[#This Row],[Fecha]])</f>
        <v>2026</v>
      </c>
      <c r="H920" t="e">
        <f>+VLOOKUP(export?format_csv_gid_612082435[[#This Row],[Valor]],Listas!A:B,2,FALSE)</f>
        <v>#N/A</v>
      </c>
    </row>
    <row r="921" spans="1:8" hidden="1" x14ac:dyDescent="0.3">
      <c r="A921" t="s">
        <v>83</v>
      </c>
      <c r="B921" t="s">
        <v>98</v>
      </c>
      <c r="C921" t="s">
        <v>99</v>
      </c>
      <c r="D921" s="19">
        <v>46163</v>
      </c>
      <c r="E921" t="s">
        <v>77</v>
      </c>
      <c r="F921">
        <f>+_xlfn.ISOWEEKNUM(export?format_csv_gid_612082435[[#This Row],[Fecha]])</f>
        <v>21</v>
      </c>
      <c r="G921">
        <f>+YEAR(export?format_csv_gid_612082435[[#This Row],[Fecha]])</f>
        <v>2026</v>
      </c>
      <c r="H921" t="e">
        <f>+VLOOKUP(export?format_csv_gid_612082435[[#This Row],[Valor]],Listas!A:B,2,FALSE)</f>
        <v>#N/A</v>
      </c>
    </row>
    <row r="922" spans="1:8" hidden="1" x14ac:dyDescent="0.3">
      <c r="A922" t="s">
        <v>83</v>
      </c>
      <c r="B922" t="s">
        <v>98</v>
      </c>
      <c r="C922" t="s">
        <v>99</v>
      </c>
      <c r="D922" s="19">
        <v>46164</v>
      </c>
      <c r="E922" t="s">
        <v>77</v>
      </c>
      <c r="F922">
        <f>+_xlfn.ISOWEEKNUM(export?format_csv_gid_612082435[[#This Row],[Fecha]])</f>
        <v>21</v>
      </c>
      <c r="G922">
        <f>+YEAR(export?format_csv_gid_612082435[[#This Row],[Fecha]])</f>
        <v>2026</v>
      </c>
      <c r="H922" t="e">
        <f>+VLOOKUP(export?format_csv_gid_612082435[[#This Row],[Valor]],Listas!A:B,2,FALSE)</f>
        <v>#N/A</v>
      </c>
    </row>
    <row r="923" spans="1:8" hidden="1" x14ac:dyDescent="0.3">
      <c r="A923" t="s">
        <v>83</v>
      </c>
      <c r="B923" t="s">
        <v>98</v>
      </c>
      <c r="C923" t="s">
        <v>99</v>
      </c>
      <c r="D923" s="19">
        <v>46165</v>
      </c>
      <c r="E923" t="s">
        <v>77</v>
      </c>
      <c r="F923">
        <f>+_xlfn.ISOWEEKNUM(export?format_csv_gid_612082435[[#This Row],[Fecha]])</f>
        <v>21</v>
      </c>
      <c r="G923">
        <f>+YEAR(export?format_csv_gid_612082435[[#This Row],[Fecha]])</f>
        <v>2026</v>
      </c>
      <c r="H923" t="e">
        <f>+VLOOKUP(export?format_csv_gid_612082435[[#This Row],[Valor]],Listas!A:B,2,FALSE)</f>
        <v>#N/A</v>
      </c>
    </row>
    <row r="924" spans="1:8" hidden="1" x14ac:dyDescent="0.3">
      <c r="A924" t="s">
        <v>83</v>
      </c>
      <c r="B924" t="s">
        <v>98</v>
      </c>
      <c r="C924" t="s">
        <v>99</v>
      </c>
      <c r="D924" s="19">
        <v>46166</v>
      </c>
      <c r="E924" t="s">
        <v>77</v>
      </c>
      <c r="F924">
        <f>+_xlfn.ISOWEEKNUM(export?format_csv_gid_612082435[[#This Row],[Fecha]])</f>
        <v>21</v>
      </c>
      <c r="G924">
        <f>+YEAR(export?format_csv_gid_612082435[[#This Row],[Fecha]])</f>
        <v>2026</v>
      </c>
      <c r="H924" t="e">
        <f>+VLOOKUP(export?format_csv_gid_612082435[[#This Row],[Valor]],Listas!A:B,2,FALSE)</f>
        <v>#N/A</v>
      </c>
    </row>
    <row r="925" spans="1:8" hidden="1" x14ac:dyDescent="0.3">
      <c r="A925" t="s">
        <v>83</v>
      </c>
      <c r="B925" t="s">
        <v>98</v>
      </c>
      <c r="C925" t="s">
        <v>99</v>
      </c>
      <c r="D925" s="19">
        <v>46167</v>
      </c>
      <c r="E925" t="s">
        <v>77</v>
      </c>
      <c r="F925">
        <f>+_xlfn.ISOWEEKNUM(export?format_csv_gid_612082435[[#This Row],[Fecha]])</f>
        <v>22</v>
      </c>
      <c r="G925">
        <f>+YEAR(export?format_csv_gid_612082435[[#This Row],[Fecha]])</f>
        <v>2026</v>
      </c>
      <c r="H925" t="e">
        <f>+VLOOKUP(export?format_csv_gid_612082435[[#This Row],[Valor]],Listas!A:B,2,FALSE)</f>
        <v>#N/A</v>
      </c>
    </row>
    <row r="926" spans="1:8" hidden="1" x14ac:dyDescent="0.3">
      <c r="A926" t="s">
        <v>83</v>
      </c>
      <c r="B926" t="s">
        <v>98</v>
      </c>
      <c r="C926" t="s">
        <v>99</v>
      </c>
      <c r="D926" s="19">
        <v>46168</v>
      </c>
      <c r="E926" t="s">
        <v>77</v>
      </c>
      <c r="F926">
        <f>+_xlfn.ISOWEEKNUM(export?format_csv_gid_612082435[[#This Row],[Fecha]])</f>
        <v>22</v>
      </c>
      <c r="G926">
        <f>+YEAR(export?format_csv_gid_612082435[[#This Row],[Fecha]])</f>
        <v>2026</v>
      </c>
      <c r="H926" t="e">
        <f>+VLOOKUP(export?format_csv_gid_612082435[[#This Row],[Valor]],Listas!A:B,2,FALSE)</f>
        <v>#N/A</v>
      </c>
    </row>
    <row r="927" spans="1:8" hidden="1" x14ac:dyDescent="0.3">
      <c r="A927" t="s">
        <v>83</v>
      </c>
      <c r="B927" t="s">
        <v>98</v>
      </c>
      <c r="C927" t="s">
        <v>99</v>
      </c>
      <c r="D927" s="19">
        <v>46169</v>
      </c>
      <c r="E927" t="s">
        <v>77</v>
      </c>
      <c r="F927">
        <f>+_xlfn.ISOWEEKNUM(export?format_csv_gid_612082435[[#This Row],[Fecha]])</f>
        <v>22</v>
      </c>
      <c r="G927">
        <f>+YEAR(export?format_csv_gid_612082435[[#This Row],[Fecha]])</f>
        <v>2026</v>
      </c>
      <c r="H927" t="e">
        <f>+VLOOKUP(export?format_csv_gid_612082435[[#This Row],[Valor]],Listas!A:B,2,FALSE)</f>
        <v>#N/A</v>
      </c>
    </row>
    <row r="928" spans="1:8" hidden="1" x14ac:dyDescent="0.3">
      <c r="A928" t="s">
        <v>83</v>
      </c>
      <c r="B928" t="s">
        <v>98</v>
      </c>
      <c r="C928" t="s">
        <v>99</v>
      </c>
      <c r="D928" s="19">
        <v>46170</v>
      </c>
      <c r="E928" t="s">
        <v>77</v>
      </c>
      <c r="F928">
        <f>+_xlfn.ISOWEEKNUM(export?format_csv_gid_612082435[[#This Row],[Fecha]])</f>
        <v>22</v>
      </c>
      <c r="G928">
        <f>+YEAR(export?format_csv_gid_612082435[[#This Row],[Fecha]])</f>
        <v>2026</v>
      </c>
      <c r="H928" t="e">
        <f>+VLOOKUP(export?format_csv_gid_612082435[[#This Row],[Valor]],Listas!A:B,2,FALSE)</f>
        <v>#N/A</v>
      </c>
    </row>
    <row r="929" spans="1:8" hidden="1" x14ac:dyDescent="0.3">
      <c r="A929" t="s">
        <v>83</v>
      </c>
      <c r="B929" t="s">
        <v>98</v>
      </c>
      <c r="C929" t="s">
        <v>99</v>
      </c>
      <c r="D929" s="19">
        <v>46171</v>
      </c>
      <c r="E929" t="s">
        <v>77</v>
      </c>
      <c r="F929">
        <f>+_xlfn.ISOWEEKNUM(export?format_csv_gid_612082435[[#This Row],[Fecha]])</f>
        <v>22</v>
      </c>
      <c r="G929">
        <f>+YEAR(export?format_csv_gid_612082435[[#This Row],[Fecha]])</f>
        <v>2026</v>
      </c>
      <c r="H929" t="e">
        <f>+VLOOKUP(export?format_csv_gid_612082435[[#This Row],[Valor]],Listas!A:B,2,FALSE)</f>
        <v>#N/A</v>
      </c>
    </row>
    <row r="930" spans="1:8" hidden="1" x14ac:dyDescent="0.3">
      <c r="A930" t="s">
        <v>83</v>
      </c>
      <c r="B930" t="s">
        <v>98</v>
      </c>
      <c r="C930" t="s">
        <v>99</v>
      </c>
      <c r="D930" s="19">
        <v>46172</v>
      </c>
      <c r="E930" t="s">
        <v>77</v>
      </c>
      <c r="F930">
        <f>+_xlfn.ISOWEEKNUM(export?format_csv_gid_612082435[[#This Row],[Fecha]])</f>
        <v>22</v>
      </c>
      <c r="G930">
        <f>+YEAR(export?format_csv_gid_612082435[[#This Row],[Fecha]])</f>
        <v>2026</v>
      </c>
      <c r="H930" t="e">
        <f>+VLOOKUP(export?format_csv_gid_612082435[[#This Row],[Valor]],Listas!A:B,2,FALSE)</f>
        <v>#N/A</v>
      </c>
    </row>
    <row r="931" spans="1:8" hidden="1" x14ac:dyDescent="0.3">
      <c r="A931" t="s">
        <v>83</v>
      </c>
      <c r="B931" t="s">
        <v>98</v>
      </c>
      <c r="C931" t="s">
        <v>99</v>
      </c>
      <c r="D931" s="19">
        <v>46173</v>
      </c>
      <c r="E931" t="s">
        <v>77</v>
      </c>
      <c r="F931">
        <f>+_xlfn.ISOWEEKNUM(export?format_csv_gid_612082435[[#This Row],[Fecha]])</f>
        <v>22</v>
      </c>
      <c r="G931">
        <f>+YEAR(export?format_csv_gid_612082435[[#This Row],[Fecha]])</f>
        <v>2026</v>
      </c>
      <c r="H931" t="e">
        <f>+VLOOKUP(export?format_csv_gid_612082435[[#This Row],[Valor]],Listas!A:B,2,FALSE)</f>
        <v>#N/A</v>
      </c>
    </row>
    <row r="932" spans="1:8" hidden="1" x14ac:dyDescent="0.3">
      <c r="A932" t="s">
        <v>72</v>
      </c>
      <c r="B932" t="s">
        <v>98</v>
      </c>
      <c r="C932" t="s">
        <v>100</v>
      </c>
      <c r="D932" s="19">
        <v>46143</v>
      </c>
      <c r="E932" t="s">
        <v>75</v>
      </c>
      <c r="F932">
        <f>+_xlfn.ISOWEEKNUM(export?format_csv_gid_612082435[[#This Row],[Fecha]])</f>
        <v>18</v>
      </c>
      <c r="G932">
        <f>+YEAR(export?format_csv_gid_612082435[[#This Row],[Fecha]])</f>
        <v>2026</v>
      </c>
      <c r="H932" t="str">
        <f>+VLOOKUP(export?format_csv_gid_612082435[[#This Row],[Valor]],Listas!A:B,2,FALSE)</f>
        <v>No Remunerado</v>
      </c>
    </row>
    <row r="933" spans="1:8" hidden="1" x14ac:dyDescent="0.3">
      <c r="A933" t="s">
        <v>72</v>
      </c>
      <c r="B933" t="s">
        <v>98</v>
      </c>
      <c r="C933" t="s">
        <v>100</v>
      </c>
      <c r="D933" s="19">
        <v>46144</v>
      </c>
      <c r="E933" t="s">
        <v>76</v>
      </c>
      <c r="F933">
        <f>+_xlfn.ISOWEEKNUM(export?format_csv_gid_612082435[[#This Row],[Fecha]])</f>
        <v>18</v>
      </c>
      <c r="G933">
        <f>+YEAR(export?format_csv_gid_612082435[[#This Row],[Fecha]])</f>
        <v>2026</v>
      </c>
      <c r="H933" t="str">
        <f>+VLOOKUP(export?format_csv_gid_612082435[[#This Row],[Valor]],Listas!A:B,2,FALSE)</f>
        <v>Asistencia</v>
      </c>
    </row>
    <row r="934" spans="1:8" hidden="1" x14ac:dyDescent="0.3">
      <c r="A934" t="s">
        <v>72</v>
      </c>
      <c r="B934" t="s">
        <v>98</v>
      </c>
      <c r="C934" t="s">
        <v>100</v>
      </c>
      <c r="D934" s="19">
        <v>46145</v>
      </c>
      <c r="E934" t="s">
        <v>75</v>
      </c>
      <c r="F934">
        <f>+_xlfn.ISOWEEKNUM(export?format_csv_gid_612082435[[#This Row],[Fecha]])</f>
        <v>18</v>
      </c>
      <c r="G934">
        <f>+YEAR(export?format_csv_gid_612082435[[#This Row],[Fecha]])</f>
        <v>2026</v>
      </c>
      <c r="H934" t="str">
        <f>+VLOOKUP(export?format_csv_gid_612082435[[#This Row],[Valor]],Listas!A:B,2,FALSE)</f>
        <v>No Remunerado</v>
      </c>
    </row>
    <row r="935" spans="1:8" hidden="1" x14ac:dyDescent="0.3">
      <c r="A935" t="s">
        <v>72</v>
      </c>
      <c r="B935" t="s">
        <v>98</v>
      </c>
      <c r="C935" t="s">
        <v>100</v>
      </c>
      <c r="D935" s="19">
        <v>46146</v>
      </c>
      <c r="E935" t="s">
        <v>76</v>
      </c>
      <c r="F935">
        <f>+_xlfn.ISOWEEKNUM(export?format_csv_gid_612082435[[#This Row],[Fecha]])</f>
        <v>19</v>
      </c>
      <c r="G935">
        <f>+YEAR(export?format_csv_gid_612082435[[#This Row],[Fecha]])</f>
        <v>2026</v>
      </c>
      <c r="H935" t="str">
        <f>+VLOOKUP(export?format_csv_gid_612082435[[#This Row],[Valor]],Listas!A:B,2,FALSE)</f>
        <v>Asistencia</v>
      </c>
    </row>
    <row r="936" spans="1:8" hidden="1" x14ac:dyDescent="0.3">
      <c r="A936" t="s">
        <v>72</v>
      </c>
      <c r="B936" t="s">
        <v>98</v>
      </c>
      <c r="C936" t="s">
        <v>100</v>
      </c>
      <c r="D936" s="19">
        <v>46147</v>
      </c>
      <c r="E936" t="s">
        <v>76</v>
      </c>
      <c r="F936">
        <f>+_xlfn.ISOWEEKNUM(export?format_csv_gid_612082435[[#This Row],[Fecha]])</f>
        <v>19</v>
      </c>
      <c r="G936">
        <f>+YEAR(export?format_csv_gid_612082435[[#This Row],[Fecha]])</f>
        <v>2026</v>
      </c>
      <c r="H936" t="str">
        <f>+VLOOKUP(export?format_csv_gid_612082435[[#This Row],[Valor]],Listas!A:B,2,FALSE)</f>
        <v>Asistencia</v>
      </c>
    </row>
    <row r="937" spans="1:8" hidden="1" x14ac:dyDescent="0.3">
      <c r="A937" t="s">
        <v>72</v>
      </c>
      <c r="B937" t="s">
        <v>98</v>
      </c>
      <c r="C937" t="s">
        <v>100</v>
      </c>
      <c r="D937" s="19">
        <v>46148</v>
      </c>
      <c r="E937" t="s">
        <v>76</v>
      </c>
      <c r="F937">
        <f>+_xlfn.ISOWEEKNUM(export?format_csv_gid_612082435[[#This Row],[Fecha]])</f>
        <v>19</v>
      </c>
      <c r="G937">
        <f>+YEAR(export?format_csv_gid_612082435[[#This Row],[Fecha]])</f>
        <v>2026</v>
      </c>
      <c r="H937" t="str">
        <f>+VLOOKUP(export?format_csv_gid_612082435[[#This Row],[Valor]],Listas!A:B,2,FALSE)</f>
        <v>Asistencia</v>
      </c>
    </row>
    <row r="938" spans="1:8" hidden="1" x14ac:dyDescent="0.3">
      <c r="A938" t="s">
        <v>72</v>
      </c>
      <c r="B938" t="s">
        <v>98</v>
      </c>
      <c r="C938" t="s">
        <v>100</v>
      </c>
      <c r="D938" s="19">
        <v>46149</v>
      </c>
      <c r="E938" t="s">
        <v>76</v>
      </c>
      <c r="F938">
        <f>+_xlfn.ISOWEEKNUM(export?format_csv_gid_612082435[[#This Row],[Fecha]])</f>
        <v>19</v>
      </c>
      <c r="G938">
        <f>+YEAR(export?format_csv_gid_612082435[[#This Row],[Fecha]])</f>
        <v>2026</v>
      </c>
      <c r="H938" t="str">
        <f>+VLOOKUP(export?format_csv_gid_612082435[[#This Row],[Valor]],Listas!A:B,2,FALSE)</f>
        <v>Asistencia</v>
      </c>
    </row>
    <row r="939" spans="1:8" hidden="1" x14ac:dyDescent="0.3">
      <c r="A939" t="s">
        <v>72</v>
      </c>
      <c r="B939" t="s">
        <v>98</v>
      </c>
      <c r="C939" t="s">
        <v>100</v>
      </c>
      <c r="D939" s="19">
        <v>46150</v>
      </c>
      <c r="E939" t="s">
        <v>76</v>
      </c>
      <c r="F939">
        <f>+_xlfn.ISOWEEKNUM(export?format_csv_gid_612082435[[#This Row],[Fecha]])</f>
        <v>19</v>
      </c>
      <c r="G939">
        <f>+YEAR(export?format_csv_gid_612082435[[#This Row],[Fecha]])</f>
        <v>2026</v>
      </c>
      <c r="H939" t="str">
        <f>+VLOOKUP(export?format_csv_gid_612082435[[#This Row],[Valor]],Listas!A:B,2,FALSE)</f>
        <v>Asistencia</v>
      </c>
    </row>
    <row r="940" spans="1:8" hidden="1" x14ac:dyDescent="0.3">
      <c r="A940" t="s">
        <v>72</v>
      </c>
      <c r="B940" t="s">
        <v>98</v>
      </c>
      <c r="C940" t="s">
        <v>100</v>
      </c>
      <c r="D940" s="19">
        <v>46151</v>
      </c>
      <c r="E940" t="s">
        <v>76</v>
      </c>
      <c r="F940">
        <f>+_xlfn.ISOWEEKNUM(export?format_csv_gid_612082435[[#This Row],[Fecha]])</f>
        <v>19</v>
      </c>
      <c r="G940">
        <f>+YEAR(export?format_csv_gid_612082435[[#This Row],[Fecha]])</f>
        <v>2026</v>
      </c>
      <c r="H940" t="str">
        <f>+VLOOKUP(export?format_csv_gid_612082435[[#This Row],[Valor]],Listas!A:B,2,FALSE)</f>
        <v>Asistencia</v>
      </c>
    </row>
    <row r="941" spans="1:8" hidden="1" x14ac:dyDescent="0.3">
      <c r="A941" t="s">
        <v>72</v>
      </c>
      <c r="B941" t="s">
        <v>98</v>
      </c>
      <c r="C941" t="s">
        <v>100</v>
      </c>
      <c r="D941" s="19">
        <v>46152</v>
      </c>
      <c r="E941" t="s">
        <v>113</v>
      </c>
      <c r="F941">
        <f>+_xlfn.ISOWEEKNUM(export?format_csv_gid_612082435[[#This Row],[Fecha]])</f>
        <v>19</v>
      </c>
      <c r="G941">
        <f>+YEAR(export?format_csv_gid_612082435[[#This Row],[Fecha]])</f>
        <v>2026</v>
      </c>
      <c r="H941" t="str">
        <f>+VLOOKUP(export?format_csv_gid_612082435[[#This Row],[Valor]],Listas!A:B,2,FALSE)</f>
        <v>D. Remunerado</v>
      </c>
    </row>
    <row r="942" spans="1:8" hidden="1" x14ac:dyDescent="0.3">
      <c r="A942" t="s">
        <v>72</v>
      </c>
      <c r="B942" t="s">
        <v>98</v>
      </c>
      <c r="C942" t="s">
        <v>100</v>
      </c>
      <c r="D942" s="19">
        <v>46153</v>
      </c>
      <c r="E942" t="s">
        <v>76</v>
      </c>
      <c r="F942">
        <f>+_xlfn.ISOWEEKNUM(export?format_csv_gid_612082435[[#This Row],[Fecha]])</f>
        <v>20</v>
      </c>
      <c r="G942">
        <f>+YEAR(export?format_csv_gid_612082435[[#This Row],[Fecha]])</f>
        <v>2026</v>
      </c>
      <c r="H942" t="str">
        <f>+VLOOKUP(export?format_csv_gid_612082435[[#This Row],[Valor]],Listas!A:B,2,FALSE)</f>
        <v>Asistencia</v>
      </c>
    </row>
    <row r="943" spans="1:8" hidden="1" x14ac:dyDescent="0.3">
      <c r="A943" t="s">
        <v>72</v>
      </c>
      <c r="B943" t="s">
        <v>98</v>
      </c>
      <c r="C943" t="s">
        <v>100</v>
      </c>
      <c r="D943" s="19">
        <v>46154</v>
      </c>
      <c r="E943" t="s">
        <v>76</v>
      </c>
      <c r="F943">
        <f>+_xlfn.ISOWEEKNUM(export?format_csv_gid_612082435[[#This Row],[Fecha]])</f>
        <v>20</v>
      </c>
      <c r="G943">
        <f>+YEAR(export?format_csv_gid_612082435[[#This Row],[Fecha]])</f>
        <v>2026</v>
      </c>
      <c r="H943" t="str">
        <f>+VLOOKUP(export?format_csv_gid_612082435[[#This Row],[Valor]],Listas!A:B,2,FALSE)</f>
        <v>Asistencia</v>
      </c>
    </row>
    <row r="944" spans="1:8" hidden="1" x14ac:dyDescent="0.3">
      <c r="A944" t="s">
        <v>72</v>
      </c>
      <c r="B944" t="s">
        <v>98</v>
      </c>
      <c r="C944" t="s">
        <v>100</v>
      </c>
      <c r="D944" s="19">
        <v>46155</v>
      </c>
      <c r="E944" t="s">
        <v>76</v>
      </c>
      <c r="F944">
        <f>+_xlfn.ISOWEEKNUM(export?format_csv_gid_612082435[[#This Row],[Fecha]])</f>
        <v>20</v>
      </c>
      <c r="G944">
        <f>+YEAR(export?format_csv_gid_612082435[[#This Row],[Fecha]])</f>
        <v>2026</v>
      </c>
      <c r="H944" t="str">
        <f>+VLOOKUP(export?format_csv_gid_612082435[[#This Row],[Valor]],Listas!A:B,2,FALSE)</f>
        <v>Asistencia</v>
      </c>
    </row>
    <row r="945" spans="1:8" hidden="1" x14ac:dyDescent="0.3">
      <c r="A945" t="s">
        <v>72</v>
      </c>
      <c r="B945" t="s">
        <v>98</v>
      </c>
      <c r="C945" t="s">
        <v>100</v>
      </c>
      <c r="D945" s="19">
        <v>46156</v>
      </c>
      <c r="E945" t="s">
        <v>76</v>
      </c>
      <c r="F945">
        <f>+_xlfn.ISOWEEKNUM(export?format_csv_gid_612082435[[#This Row],[Fecha]])</f>
        <v>20</v>
      </c>
      <c r="G945">
        <f>+YEAR(export?format_csv_gid_612082435[[#This Row],[Fecha]])</f>
        <v>2026</v>
      </c>
      <c r="H945" t="str">
        <f>+VLOOKUP(export?format_csv_gid_612082435[[#This Row],[Valor]],Listas!A:B,2,FALSE)</f>
        <v>Asistencia</v>
      </c>
    </row>
    <row r="946" spans="1:8" hidden="1" x14ac:dyDescent="0.3">
      <c r="A946" t="s">
        <v>72</v>
      </c>
      <c r="B946" t="s">
        <v>98</v>
      </c>
      <c r="C946" t="s">
        <v>100</v>
      </c>
      <c r="D946" s="19">
        <v>46157</v>
      </c>
      <c r="E946" t="s">
        <v>77</v>
      </c>
      <c r="F946">
        <f>+_xlfn.ISOWEEKNUM(export?format_csv_gid_612082435[[#This Row],[Fecha]])</f>
        <v>20</v>
      </c>
      <c r="G946">
        <f>+YEAR(export?format_csv_gid_612082435[[#This Row],[Fecha]])</f>
        <v>2026</v>
      </c>
      <c r="H946" t="e">
        <f>+VLOOKUP(export?format_csv_gid_612082435[[#This Row],[Valor]],Listas!A:B,2,FALSE)</f>
        <v>#N/A</v>
      </c>
    </row>
    <row r="947" spans="1:8" hidden="1" x14ac:dyDescent="0.3">
      <c r="A947" t="s">
        <v>72</v>
      </c>
      <c r="B947" t="s">
        <v>98</v>
      </c>
      <c r="C947" t="s">
        <v>100</v>
      </c>
      <c r="D947" s="19">
        <v>46158</v>
      </c>
      <c r="E947" t="s">
        <v>77</v>
      </c>
      <c r="F947">
        <f>+_xlfn.ISOWEEKNUM(export?format_csv_gid_612082435[[#This Row],[Fecha]])</f>
        <v>20</v>
      </c>
      <c r="G947">
        <f>+YEAR(export?format_csv_gid_612082435[[#This Row],[Fecha]])</f>
        <v>2026</v>
      </c>
      <c r="H947" t="e">
        <f>+VLOOKUP(export?format_csv_gid_612082435[[#This Row],[Valor]],Listas!A:B,2,FALSE)</f>
        <v>#N/A</v>
      </c>
    </row>
    <row r="948" spans="1:8" hidden="1" x14ac:dyDescent="0.3">
      <c r="A948" t="s">
        <v>72</v>
      </c>
      <c r="B948" t="s">
        <v>98</v>
      </c>
      <c r="C948" t="s">
        <v>100</v>
      </c>
      <c r="D948" s="19">
        <v>46159</v>
      </c>
      <c r="E948" t="s">
        <v>77</v>
      </c>
      <c r="F948">
        <f>+_xlfn.ISOWEEKNUM(export?format_csv_gid_612082435[[#This Row],[Fecha]])</f>
        <v>20</v>
      </c>
      <c r="G948">
        <f>+YEAR(export?format_csv_gid_612082435[[#This Row],[Fecha]])</f>
        <v>2026</v>
      </c>
      <c r="H948" t="e">
        <f>+VLOOKUP(export?format_csv_gid_612082435[[#This Row],[Valor]],Listas!A:B,2,FALSE)</f>
        <v>#N/A</v>
      </c>
    </row>
    <row r="949" spans="1:8" hidden="1" x14ac:dyDescent="0.3">
      <c r="A949" t="s">
        <v>72</v>
      </c>
      <c r="B949" t="s">
        <v>98</v>
      </c>
      <c r="C949" t="s">
        <v>100</v>
      </c>
      <c r="D949" s="19">
        <v>46160</v>
      </c>
      <c r="E949" t="s">
        <v>77</v>
      </c>
      <c r="F949">
        <f>+_xlfn.ISOWEEKNUM(export?format_csv_gid_612082435[[#This Row],[Fecha]])</f>
        <v>21</v>
      </c>
      <c r="G949">
        <f>+YEAR(export?format_csv_gid_612082435[[#This Row],[Fecha]])</f>
        <v>2026</v>
      </c>
      <c r="H949" t="e">
        <f>+VLOOKUP(export?format_csv_gid_612082435[[#This Row],[Valor]],Listas!A:B,2,FALSE)</f>
        <v>#N/A</v>
      </c>
    </row>
    <row r="950" spans="1:8" hidden="1" x14ac:dyDescent="0.3">
      <c r="A950" t="s">
        <v>72</v>
      </c>
      <c r="B950" t="s">
        <v>98</v>
      </c>
      <c r="C950" t="s">
        <v>100</v>
      </c>
      <c r="D950" s="19">
        <v>46161</v>
      </c>
      <c r="E950" t="s">
        <v>77</v>
      </c>
      <c r="F950">
        <f>+_xlfn.ISOWEEKNUM(export?format_csv_gid_612082435[[#This Row],[Fecha]])</f>
        <v>21</v>
      </c>
      <c r="G950">
        <f>+YEAR(export?format_csv_gid_612082435[[#This Row],[Fecha]])</f>
        <v>2026</v>
      </c>
      <c r="H950" t="e">
        <f>+VLOOKUP(export?format_csv_gid_612082435[[#This Row],[Valor]],Listas!A:B,2,FALSE)</f>
        <v>#N/A</v>
      </c>
    </row>
    <row r="951" spans="1:8" hidden="1" x14ac:dyDescent="0.3">
      <c r="A951" t="s">
        <v>72</v>
      </c>
      <c r="B951" t="s">
        <v>98</v>
      </c>
      <c r="C951" t="s">
        <v>100</v>
      </c>
      <c r="D951" s="19">
        <v>46162</v>
      </c>
      <c r="E951" t="s">
        <v>77</v>
      </c>
      <c r="F951">
        <f>+_xlfn.ISOWEEKNUM(export?format_csv_gid_612082435[[#This Row],[Fecha]])</f>
        <v>21</v>
      </c>
      <c r="G951">
        <f>+YEAR(export?format_csv_gid_612082435[[#This Row],[Fecha]])</f>
        <v>2026</v>
      </c>
      <c r="H951" t="e">
        <f>+VLOOKUP(export?format_csv_gid_612082435[[#This Row],[Valor]],Listas!A:B,2,FALSE)</f>
        <v>#N/A</v>
      </c>
    </row>
    <row r="952" spans="1:8" hidden="1" x14ac:dyDescent="0.3">
      <c r="A952" t="s">
        <v>72</v>
      </c>
      <c r="B952" t="s">
        <v>98</v>
      </c>
      <c r="C952" t="s">
        <v>100</v>
      </c>
      <c r="D952" s="19">
        <v>46163</v>
      </c>
      <c r="E952" t="s">
        <v>77</v>
      </c>
      <c r="F952">
        <f>+_xlfn.ISOWEEKNUM(export?format_csv_gid_612082435[[#This Row],[Fecha]])</f>
        <v>21</v>
      </c>
      <c r="G952">
        <f>+YEAR(export?format_csv_gid_612082435[[#This Row],[Fecha]])</f>
        <v>2026</v>
      </c>
      <c r="H952" t="e">
        <f>+VLOOKUP(export?format_csv_gid_612082435[[#This Row],[Valor]],Listas!A:B,2,FALSE)</f>
        <v>#N/A</v>
      </c>
    </row>
    <row r="953" spans="1:8" hidden="1" x14ac:dyDescent="0.3">
      <c r="A953" t="s">
        <v>72</v>
      </c>
      <c r="B953" t="s">
        <v>98</v>
      </c>
      <c r="C953" t="s">
        <v>100</v>
      </c>
      <c r="D953" s="19">
        <v>46164</v>
      </c>
      <c r="E953" t="s">
        <v>77</v>
      </c>
      <c r="F953">
        <f>+_xlfn.ISOWEEKNUM(export?format_csv_gid_612082435[[#This Row],[Fecha]])</f>
        <v>21</v>
      </c>
      <c r="G953">
        <f>+YEAR(export?format_csv_gid_612082435[[#This Row],[Fecha]])</f>
        <v>2026</v>
      </c>
      <c r="H953" t="e">
        <f>+VLOOKUP(export?format_csv_gid_612082435[[#This Row],[Valor]],Listas!A:B,2,FALSE)</f>
        <v>#N/A</v>
      </c>
    </row>
    <row r="954" spans="1:8" hidden="1" x14ac:dyDescent="0.3">
      <c r="A954" t="s">
        <v>72</v>
      </c>
      <c r="B954" t="s">
        <v>98</v>
      </c>
      <c r="C954" t="s">
        <v>100</v>
      </c>
      <c r="D954" s="19">
        <v>46165</v>
      </c>
      <c r="E954" t="s">
        <v>77</v>
      </c>
      <c r="F954">
        <f>+_xlfn.ISOWEEKNUM(export?format_csv_gid_612082435[[#This Row],[Fecha]])</f>
        <v>21</v>
      </c>
      <c r="G954">
        <f>+YEAR(export?format_csv_gid_612082435[[#This Row],[Fecha]])</f>
        <v>2026</v>
      </c>
      <c r="H954" t="e">
        <f>+VLOOKUP(export?format_csv_gid_612082435[[#This Row],[Valor]],Listas!A:B,2,FALSE)</f>
        <v>#N/A</v>
      </c>
    </row>
    <row r="955" spans="1:8" hidden="1" x14ac:dyDescent="0.3">
      <c r="A955" t="s">
        <v>72</v>
      </c>
      <c r="B955" t="s">
        <v>98</v>
      </c>
      <c r="C955" t="s">
        <v>100</v>
      </c>
      <c r="D955" s="19">
        <v>46166</v>
      </c>
      <c r="E955" t="s">
        <v>77</v>
      </c>
      <c r="F955">
        <f>+_xlfn.ISOWEEKNUM(export?format_csv_gid_612082435[[#This Row],[Fecha]])</f>
        <v>21</v>
      </c>
      <c r="G955">
        <f>+YEAR(export?format_csv_gid_612082435[[#This Row],[Fecha]])</f>
        <v>2026</v>
      </c>
      <c r="H955" t="e">
        <f>+VLOOKUP(export?format_csv_gid_612082435[[#This Row],[Valor]],Listas!A:B,2,FALSE)</f>
        <v>#N/A</v>
      </c>
    </row>
    <row r="956" spans="1:8" hidden="1" x14ac:dyDescent="0.3">
      <c r="A956" t="s">
        <v>72</v>
      </c>
      <c r="B956" t="s">
        <v>98</v>
      </c>
      <c r="C956" t="s">
        <v>100</v>
      </c>
      <c r="D956" s="19">
        <v>46167</v>
      </c>
      <c r="E956" t="s">
        <v>77</v>
      </c>
      <c r="F956">
        <f>+_xlfn.ISOWEEKNUM(export?format_csv_gid_612082435[[#This Row],[Fecha]])</f>
        <v>22</v>
      </c>
      <c r="G956">
        <f>+YEAR(export?format_csv_gid_612082435[[#This Row],[Fecha]])</f>
        <v>2026</v>
      </c>
      <c r="H956" t="e">
        <f>+VLOOKUP(export?format_csv_gid_612082435[[#This Row],[Valor]],Listas!A:B,2,FALSE)</f>
        <v>#N/A</v>
      </c>
    </row>
    <row r="957" spans="1:8" hidden="1" x14ac:dyDescent="0.3">
      <c r="A957" t="s">
        <v>72</v>
      </c>
      <c r="B957" t="s">
        <v>98</v>
      </c>
      <c r="C957" t="s">
        <v>100</v>
      </c>
      <c r="D957" s="19">
        <v>46168</v>
      </c>
      <c r="E957" t="s">
        <v>77</v>
      </c>
      <c r="F957">
        <f>+_xlfn.ISOWEEKNUM(export?format_csv_gid_612082435[[#This Row],[Fecha]])</f>
        <v>22</v>
      </c>
      <c r="G957">
        <f>+YEAR(export?format_csv_gid_612082435[[#This Row],[Fecha]])</f>
        <v>2026</v>
      </c>
      <c r="H957" t="e">
        <f>+VLOOKUP(export?format_csv_gid_612082435[[#This Row],[Valor]],Listas!A:B,2,FALSE)</f>
        <v>#N/A</v>
      </c>
    </row>
    <row r="958" spans="1:8" hidden="1" x14ac:dyDescent="0.3">
      <c r="A958" t="s">
        <v>72</v>
      </c>
      <c r="B958" t="s">
        <v>98</v>
      </c>
      <c r="C958" t="s">
        <v>100</v>
      </c>
      <c r="D958" s="19">
        <v>46169</v>
      </c>
      <c r="E958" t="s">
        <v>77</v>
      </c>
      <c r="F958">
        <f>+_xlfn.ISOWEEKNUM(export?format_csv_gid_612082435[[#This Row],[Fecha]])</f>
        <v>22</v>
      </c>
      <c r="G958">
        <f>+YEAR(export?format_csv_gid_612082435[[#This Row],[Fecha]])</f>
        <v>2026</v>
      </c>
      <c r="H958" t="e">
        <f>+VLOOKUP(export?format_csv_gid_612082435[[#This Row],[Valor]],Listas!A:B,2,FALSE)</f>
        <v>#N/A</v>
      </c>
    </row>
    <row r="959" spans="1:8" hidden="1" x14ac:dyDescent="0.3">
      <c r="A959" t="s">
        <v>72</v>
      </c>
      <c r="B959" t="s">
        <v>98</v>
      </c>
      <c r="C959" t="s">
        <v>100</v>
      </c>
      <c r="D959" s="19">
        <v>46170</v>
      </c>
      <c r="E959" t="s">
        <v>77</v>
      </c>
      <c r="F959">
        <f>+_xlfn.ISOWEEKNUM(export?format_csv_gid_612082435[[#This Row],[Fecha]])</f>
        <v>22</v>
      </c>
      <c r="G959">
        <f>+YEAR(export?format_csv_gid_612082435[[#This Row],[Fecha]])</f>
        <v>2026</v>
      </c>
      <c r="H959" t="e">
        <f>+VLOOKUP(export?format_csv_gid_612082435[[#This Row],[Valor]],Listas!A:B,2,FALSE)</f>
        <v>#N/A</v>
      </c>
    </row>
    <row r="960" spans="1:8" hidden="1" x14ac:dyDescent="0.3">
      <c r="A960" t="s">
        <v>72</v>
      </c>
      <c r="B960" t="s">
        <v>98</v>
      </c>
      <c r="C960" t="s">
        <v>100</v>
      </c>
      <c r="D960" s="19">
        <v>46171</v>
      </c>
      <c r="E960" t="s">
        <v>77</v>
      </c>
      <c r="F960">
        <f>+_xlfn.ISOWEEKNUM(export?format_csv_gid_612082435[[#This Row],[Fecha]])</f>
        <v>22</v>
      </c>
      <c r="G960">
        <f>+YEAR(export?format_csv_gid_612082435[[#This Row],[Fecha]])</f>
        <v>2026</v>
      </c>
      <c r="H960" t="e">
        <f>+VLOOKUP(export?format_csv_gid_612082435[[#This Row],[Valor]],Listas!A:B,2,FALSE)</f>
        <v>#N/A</v>
      </c>
    </row>
    <row r="961" spans="1:8" hidden="1" x14ac:dyDescent="0.3">
      <c r="A961" t="s">
        <v>72</v>
      </c>
      <c r="B961" t="s">
        <v>98</v>
      </c>
      <c r="C961" t="s">
        <v>100</v>
      </c>
      <c r="D961" s="19">
        <v>46172</v>
      </c>
      <c r="E961" t="s">
        <v>77</v>
      </c>
      <c r="F961">
        <f>+_xlfn.ISOWEEKNUM(export?format_csv_gid_612082435[[#This Row],[Fecha]])</f>
        <v>22</v>
      </c>
      <c r="G961">
        <f>+YEAR(export?format_csv_gid_612082435[[#This Row],[Fecha]])</f>
        <v>2026</v>
      </c>
      <c r="H961" t="e">
        <f>+VLOOKUP(export?format_csv_gid_612082435[[#This Row],[Valor]],Listas!A:B,2,FALSE)</f>
        <v>#N/A</v>
      </c>
    </row>
    <row r="962" spans="1:8" hidden="1" x14ac:dyDescent="0.3">
      <c r="A962" t="s">
        <v>72</v>
      </c>
      <c r="B962" t="s">
        <v>98</v>
      </c>
      <c r="C962" t="s">
        <v>100</v>
      </c>
      <c r="D962" s="19">
        <v>46173</v>
      </c>
      <c r="E962" t="s">
        <v>77</v>
      </c>
      <c r="F962">
        <f>+_xlfn.ISOWEEKNUM(export?format_csv_gid_612082435[[#This Row],[Fecha]])</f>
        <v>22</v>
      </c>
      <c r="G962">
        <f>+YEAR(export?format_csv_gid_612082435[[#This Row],[Fecha]])</f>
        <v>2026</v>
      </c>
      <c r="H962" t="e">
        <f>+VLOOKUP(export?format_csv_gid_612082435[[#This Row],[Valor]],Listas!A:B,2,FALSE)</f>
        <v>#N/A</v>
      </c>
    </row>
    <row r="963" spans="1:8" hidden="1" x14ac:dyDescent="0.3">
      <c r="A963" t="s">
        <v>72</v>
      </c>
      <c r="B963" t="s">
        <v>98</v>
      </c>
      <c r="C963" t="s">
        <v>143</v>
      </c>
      <c r="D963" s="19">
        <v>46143</v>
      </c>
      <c r="E963" t="s">
        <v>76</v>
      </c>
      <c r="F963">
        <f>+_xlfn.ISOWEEKNUM(export?format_csv_gid_612082435[[#This Row],[Fecha]])</f>
        <v>18</v>
      </c>
      <c r="G963">
        <f>+YEAR(export?format_csv_gid_612082435[[#This Row],[Fecha]])</f>
        <v>2026</v>
      </c>
      <c r="H963" t="str">
        <f>+VLOOKUP(export?format_csv_gid_612082435[[#This Row],[Valor]],Listas!A:B,2,FALSE)</f>
        <v>Asistencia</v>
      </c>
    </row>
    <row r="964" spans="1:8" hidden="1" x14ac:dyDescent="0.3">
      <c r="A964" t="s">
        <v>72</v>
      </c>
      <c r="B964" t="s">
        <v>98</v>
      </c>
      <c r="C964" t="s">
        <v>143</v>
      </c>
      <c r="D964" s="19">
        <v>46144</v>
      </c>
      <c r="E964" t="s">
        <v>76</v>
      </c>
      <c r="F964">
        <f>+_xlfn.ISOWEEKNUM(export?format_csv_gid_612082435[[#This Row],[Fecha]])</f>
        <v>18</v>
      </c>
      <c r="G964">
        <f>+YEAR(export?format_csv_gid_612082435[[#This Row],[Fecha]])</f>
        <v>2026</v>
      </c>
      <c r="H964" t="str">
        <f>+VLOOKUP(export?format_csv_gid_612082435[[#This Row],[Valor]],Listas!A:B,2,FALSE)</f>
        <v>Asistencia</v>
      </c>
    </row>
    <row r="965" spans="1:8" hidden="1" x14ac:dyDescent="0.3">
      <c r="A965" t="s">
        <v>72</v>
      </c>
      <c r="B965" t="s">
        <v>98</v>
      </c>
      <c r="C965" t="s">
        <v>143</v>
      </c>
      <c r="D965" s="19">
        <v>46145</v>
      </c>
      <c r="E965" t="s">
        <v>75</v>
      </c>
      <c r="F965">
        <f>+_xlfn.ISOWEEKNUM(export?format_csv_gid_612082435[[#This Row],[Fecha]])</f>
        <v>18</v>
      </c>
      <c r="G965">
        <f>+YEAR(export?format_csv_gid_612082435[[#This Row],[Fecha]])</f>
        <v>2026</v>
      </c>
      <c r="H965" t="str">
        <f>+VLOOKUP(export?format_csv_gid_612082435[[#This Row],[Valor]],Listas!A:B,2,FALSE)</f>
        <v>No Remunerado</v>
      </c>
    </row>
    <row r="966" spans="1:8" hidden="1" x14ac:dyDescent="0.3">
      <c r="A966" t="s">
        <v>72</v>
      </c>
      <c r="B966" t="s">
        <v>98</v>
      </c>
      <c r="C966" t="s">
        <v>143</v>
      </c>
      <c r="D966" s="19">
        <v>46146</v>
      </c>
      <c r="E966" t="s">
        <v>76</v>
      </c>
      <c r="F966">
        <f>+_xlfn.ISOWEEKNUM(export?format_csv_gid_612082435[[#This Row],[Fecha]])</f>
        <v>19</v>
      </c>
      <c r="G966">
        <f>+YEAR(export?format_csv_gid_612082435[[#This Row],[Fecha]])</f>
        <v>2026</v>
      </c>
      <c r="H966" t="str">
        <f>+VLOOKUP(export?format_csv_gid_612082435[[#This Row],[Valor]],Listas!A:B,2,FALSE)</f>
        <v>Asistencia</v>
      </c>
    </row>
    <row r="967" spans="1:8" hidden="1" x14ac:dyDescent="0.3">
      <c r="A967" t="s">
        <v>72</v>
      </c>
      <c r="B967" t="s">
        <v>98</v>
      </c>
      <c r="C967" t="s">
        <v>143</v>
      </c>
      <c r="D967" s="19">
        <v>46147</v>
      </c>
      <c r="E967" t="s">
        <v>76</v>
      </c>
      <c r="F967">
        <f>+_xlfn.ISOWEEKNUM(export?format_csv_gid_612082435[[#This Row],[Fecha]])</f>
        <v>19</v>
      </c>
      <c r="G967">
        <f>+YEAR(export?format_csv_gid_612082435[[#This Row],[Fecha]])</f>
        <v>2026</v>
      </c>
      <c r="H967" t="str">
        <f>+VLOOKUP(export?format_csv_gid_612082435[[#This Row],[Valor]],Listas!A:B,2,FALSE)</f>
        <v>Asistencia</v>
      </c>
    </row>
    <row r="968" spans="1:8" hidden="1" x14ac:dyDescent="0.3">
      <c r="A968" t="s">
        <v>72</v>
      </c>
      <c r="B968" t="s">
        <v>98</v>
      </c>
      <c r="C968" t="s">
        <v>143</v>
      </c>
      <c r="D968" s="19">
        <v>46148</v>
      </c>
      <c r="E968" t="s">
        <v>76</v>
      </c>
      <c r="F968">
        <f>+_xlfn.ISOWEEKNUM(export?format_csv_gid_612082435[[#This Row],[Fecha]])</f>
        <v>19</v>
      </c>
      <c r="G968">
        <f>+YEAR(export?format_csv_gid_612082435[[#This Row],[Fecha]])</f>
        <v>2026</v>
      </c>
      <c r="H968" t="str">
        <f>+VLOOKUP(export?format_csv_gid_612082435[[#This Row],[Valor]],Listas!A:B,2,FALSE)</f>
        <v>Asistencia</v>
      </c>
    </row>
    <row r="969" spans="1:8" hidden="1" x14ac:dyDescent="0.3">
      <c r="A969" t="s">
        <v>72</v>
      </c>
      <c r="B969" t="s">
        <v>98</v>
      </c>
      <c r="C969" t="s">
        <v>143</v>
      </c>
      <c r="D969" s="19">
        <v>46149</v>
      </c>
      <c r="E969" t="s">
        <v>76</v>
      </c>
      <c r="F969">
        <f>+_xlfn.ISOWEEKNUM(export?format_csv_gid_612082435[[#This Row],[Fecha]])</f>
        <v>19</v>
      </c>
      <c r="G969">
        <f>+YEAR(export?format_csv_gid_612082435[[#This Row],[Fecha]])</f>
        <v>2026</v>
      </c>
      <c r="H969" t="str">
        <f>+VLOOKUP(export?format_csv_gid_612082435[[#This Row],[Valor]],Listas!A:B,2,FALSE)</f>
        <v>Asistencia</v>
      </c>
    </row>
    <row r="970" spans="1:8" hidden="1" x14ac:dyDescent="0.3">
      <c r="A970" t="s">
        <v>72</v>
      </c>
      <c r="B970" t="s">
        <v>98</v>
      </c>
      <c r="C970" t="s">
        <v>143</v>
      </c>
      <c r="D970" s="19">
        <v>46150</v>
      </c>
      <c r="E970" t="s">
        <v>76</v>
      </c>
      <c r="F970">
        <f>+_xlfn.ISOWEEKNUM(export?format_csv_gid_612082435[[#This Row],[Fecha]])</f>
        <v>19</v>
      </c>
      <c r="G970">
        <f>+YEAR(export?format_csv_gid_612082435[[#This Row],[Fecha]])</f>
        <v>2026</v>
      </c>
      <c r="H970" t="str">
        <f>+VLOOKUP(export?format_csv_gid_612082435[[#This Row],[Valor]],Listas!A:B,2,FALSE)</f>
        <v>Asistencia</v>
      </c>
    </row>
    <row r="971" spans="1:8" hidden="1" x14ac:dyDescent="0.3">
      <c r="A971" t="s">
        <v>72</v>
      </c>
      <c r="B971" t="s">
        <v>98</v>
      </c>
      <c r="C971" t="s">
        <v>143</v>
      </c>
      <c r="D971" s="19">
        <v>46151</v>
      </c>
      <c r="E971" t="s">
        <v>76</v>
      </c>
      <c r="F971">
        <f>+_xlfn.ISOWEEKNUM(export?format_csv_gid_612082435[[#This Row],[Fecha]])</f>
        <v>19</v>
      </c>
      <c r="G971">
        <f>+YEAR(export?format_csv_gid_612082435[[#This Row],[Fecha]])</f>
        <v>2026</v>
      </c>
      <c r="H971" t="str">
        <f>+VLOOKUP(export?format_csv_gid_612082435[[#This Row],[Valor]],Listas!A:B,2,FALSE)</f>
        <v>Asistencia</v>
      </c>
    </row>
    <row r="972" spans="1:8" hidden="1" x14ac:dyDescent="0.3">
      <c r="A972" t="s">
        <v>72</v>
      </c>
      <c r="B972" t="s">
        <v>98</v>
      </c>
      <c r="C972" t="s">
        <v>143</v>
      </c>
      <c r="D972" s="19">
        <v>46152</v>
      </c>
      <c r="E972" t="s">
        <v>113</v>
      </c>
      <c r="F972">
        <f>+_xlfn.ISOWEEKNUM(export?format_csv_gid_612082435[[#This Row],[Fecha]])</f>
        <v>19</v>
      </c>
      <c r="G972">
        <f>+YEAR(export?format_csv_gid_612082435[[#This Row],[Fecha]])</f>
        <v>2026</v>
      </c>
      <c r="H972" t="str">
        <f>+VLOOKUP(export?format_csv_gid_612082435[[#This Row],[Valor]],Listas!A:B,2,FALSE)</f>
        <v>D. Remunerado</v>
      </c>
    </row>
    <row r="973" spans="1:8" hidden="1" x14ac:dyDescent="0.3">
      <c r="A973" t="s">
        <v>72</v>
      </c>
      <c r="B973" t="s">
        <v>98</v>
      </c>
      <c r="C973" t="s">
        <v>143</v>
      </c>
      <c r="D973" s="19">
        <v>46153</v>
      </c>
      <c r="E973" t="s">
        <v>76</v>
      </c>
      <c r="F973">
        <f>+_xlfn.ISOWEEKNUM(export?format_csv_gid_612082435[[#This Row],[Fecha]])</f>
        <v>20</v>
      </c>
      <c r="G973">
        <f>+YEAR(export?format_csv_gid_612082435[[#This Row],[Fecha]])</f>
        <v>2026</v>
      </c>
      <c r="H973" t="str">
        <f>+VLOOKUP(export?format_csv_gid_612082435[[#This Row],[Valor]],Listas!A:B,2,FALSE)</f>
        <v>Asistencia</v>
      </c>
    </row>
    <row r="974" spans="1:8" hidden="1" x14ac:dyDescent="0.3">
      <c r="A974" t="s">
        <v>72</v>
      </c>
      <c r="B974" t="s">
        <v>98</v>
      </c>
      <c r="C974" t="s">
        <v>143</v>
      </c>
      <c r="D974" s="19">
        <v>46154</v>
      </c>
      <c r="E974" t="s">
        <v>76</v>
      </c>
      <c r="F974">
        <f>+_xlfn.ISOWEEKNUM(export?format_csv_gid_612082435[[#This Row],[Fecha]])</f>
        <v>20</v>
      </c>
      <c r="G974">
        <f>+YEAR(export?format_csv_gid_612082435[[#This Row],[Fecha]])</f>
        <v>2026</v>
      </c>
      <c r="H974" t="str">
        <f>+VLOOKUP(export?format_csv_gid_612082435[[#This Row],[Valor]],Listas!A:B,2,FALSE)</f>
        <v>Asistencia</v>
      </c>
    </row>
    <row r="975" spans="1:8" hidden="1" x14ac:dyDescent="0.3">
      <c r="A975" t="s">
        <v>72</v>
      </c>
      <c r="B975" t="s">
        <v>98</v>
      </c>
      <c r="C975" t="s">
        <v>143</v>
      </c>
      <c r="D975" s="19">
        <v>46155</v>
      </c>
      <c r="E975" t="s">
        <v>76</v>
      </c>
      <c r="F975">
        <f>+_xlfn.ISOWEEKNUM(export?format_csv_gid_612082435[[#This Row],[Fecha]])</f>
        <v>20</v>
      </c>
      <c r="G975">
        <f>+YEAR(export?format_csv_gid_612082435[[#This Row],[Fecha]])</f>
        <v>2026</v>
      </c>
      <c r="H975" t="str">
        <f>+VLOOKUP(export?format_csv_gid_612082435[[#This Row],[Valor]],Listas!A:B,2,FALSE)</f>
        <v>Asistencia</v>
      </c>
    </row>
    <row r="976" spans="1:8" hidden="1" x14ac:dyDescent="0.3">
      <c r="A976" t="s">
        <v>72</v>
      </c>
      <c r="B976" t="s">
        <v>98</v>
      </c>
      <c r="C976" t="s">
        <v>143</v>
      </c>
      <c r="D976" s="19">
        <v>46156</v>
      </c>
      <c r="E976" t="s">
        <v>76</v>
      </c>
      <c r="F976">
        <f>+_xlfn.ISOWEEKNUM(export?format_csv_gid_612082435[[#This Row],[Fecha]])</f>
        <v>20</v>
      </c>
      <c r="G976">
        <f>+YEAR(export?format_csv_gid_612082435[[#This Row],[Fecha]])</f>
        <v>2026</v>
      </c>
      <c r="H976" t="str">
        <f>+VLOOKUP(export?format_csv_gid_612082435[[#This Row],[Valor]],Listas!A:B,2,FALSE)</f>
        <v>Asistencia</v>
      </c>
    </row>
    <row r="977" spans="1:8" hidden="1" x14ac:dyDescent="0.3">
      <c r="A977" t="s">
        <v>72</v>
      </c>
      <c r="B977" t="s">
        <v>98</v>
      </c>
      <c r="C977" t="s">
        <v>143</v>
      </c>
      <c r="D977" s="19">
        <v>46157</v>
      </c>
      <c r="E977" t="s">
        <v>76</v>
      </c>
      <c r="F977">
        <f>+_xlfn.ISOWEEKNUM(export?format_csv_gid_612082435[[#This Row],[Fecha]])</f>
        <v>20</v>
      </c>
      <c r="G977">
        <f>+YEAR(export?format_csv_gid_612082435[[#This Row],[Fecha]])</f>
        <v>2026</v>
      </c>
      <c r="H977" t="str">
        <f>+VLOOKUP(export?format_csv_gid_612082435[[#This Row],[Valor]],Listas!A:B,2,FALSE)</f>
        <v>Asistencia</v>
      </c>
    </row>
    <row r="978" spans="1:8" hidden="1" x14ac:dyDescent="0.3">
      <c r="A978" t="s">
        <v>72</v>
      </c>
      <c r="B978" t="s">
        <v>98</v>
      </c>
      <c r="C978" t="s">
        <v>143</v>
      </c>
      <c r="D978" s="19">
        <v>46158</v>
      </c>
      <c r="E978" t="s">
        <v>77</v>
      </c>
      <c r="F978">
        <f>+_xlfn.ISOWEEKNUM(export?format_csv_gid_612082435[[#This Row],[Fecha]])</f>
        <v>20</v>
      </c>
      <c r="G978">
        <f>+YEAR(export?format_csv_gid_612082435[[#This Row],[Fecha]])</f>
        <v>2026</v>
      </c>
      <c r="H978" t="e">
        <f>+VLOOKUP(export?format_csv_gid_612082435[[#This Row],[Valor]],Listas!A:B,2,FALSE)</f>
        <v>#N/A</v>
      </c>
    </row>
    <row r="979" spans="1:8" hidden="1" x14ac:dyDescent="0.3">
      <c r="A979" t="s">
        <v>72</v>
      </c>
      <c r="B979" t="s">
        <v>98</v>
      </c>
      <c r="C979" t="s">
        <v>143</v>
      </c>
      <c r="D979" s="19">
        <v>46159</v>
      </c>
      <c r="E979" t="s">
        <v>77</v>
      </c>
      <c r="F979">
        <f>+_xlfn.ISOWEEKNUM(export?format_csv_gid_612082435[[#This Row],[Fecha]])</f>
        <v>20</v>
      </c>
      <c r="G979">
        <f>+YEAR(export?format_csv_gid_612082435[[#This Row],[Fecha]])</f>
        <v>2026</v>
      </c>
      <c r="H979" t="e">
        <f>+VLOOKUP(export?format_csv_gid_612082435[[#This Row],[Valor]],Listas!A:B,2,FALSE)</f>
        <v>#N/A</v>
      </c>
    </row>
    <row r="980" spans="1:8" hidden="1" x14ac:dyDescent="0.3">
      <c r="A980" t="s">
        <v>72</v>
      </c>
      <c r="B980" t="s">
        <v>98</v>
      </c>
      <c r="C980" t="s">
        <v>143</v>
      </c>
      <c r="D980" s="19">
        <v>46160</v>
      </c>
      <c r="E980" t="s">
        <v>77</v>
      </c>
      <c r="F980">
        <f>+_xlfn.ISOWEEKNUM(export?format_csv_gid_612082435[[#This Row],[Fecha]])</f>
        <v>21</v>
      </c>
      <c r="G980">
        <f>+YEAR(export?format_csv_gid_612082435[[#This Row],[Fecha]])</f>
        <v>2026</v>
      </c>
      <c r="H980" t="e">
        <f>+VLOOKUP(export?format_csv_gid_612082435[[#This Row],[Valor]],Listas!A:B,2,FALSE)</f>
        <v>#N/A</v>
      </c>
    </row>
    <row r="981" spans="1:8" hidden="1" x14ac:dyDescent="0.3">
      <c r="A981" t="s">
        <v>72</v>
      </c>
      <c r="B981" t="s">
        <v>98</v>
      </c>
      <c r="C981" t="s">
        <v>143</v>
      </c>
      <c r="D981" s="19">
        <v>46161</v>
      </c>
      <c r="E981" t="s">
        <v>77</v>
      </c>
      <c r="F981">
        <f>+_xlfn.ISOWEEKNUM(export?format_csv_gid_612082435[[#This Row],[Fecha]])</f>
        <v>21</v>
      </c>
      <c r="G981">
        <f>+YEAR(export?format_csv_gid_612082435[[#This Row],[Fecha]])</f>
        <v>2026</v>
      </c>
      <c r="H981" t="e">
        <f>+VLOOKUP(export?format_csv_gid_612082435[[#This Row],[Valor]],Listas!A:B,2,FALSE)</f>
        <v>#N/A</v>
      </c>
    </row>
    <row r="982" spans="1:8" hidden="1" x14ac:dyDescent="0.3">
      <c r="A982" t="s">
        <v>72</v>
      </c>
      <c r="B982" t="s">
        <v>98</v>
      </c>
      <c r="C982" t="s">
        <v>143</v>
      </c>
      <c r="D982" s="19">
        <v>46162</v>
      </c>
      <c r="E982" t="s">
        <v>77</v>
      </c>
      <c r="F982">
        <f>+_xlfn.ISOWEEKNUM(export?format_csv_gid_612082435[[#This Row],[Fecha]])</f>
        <v>21</v>
      </c>
      <c r="G982">
        <f>+YEAR(export?format_csv_gid_612082435[[#This Row],[Fecha]])</f>
        <v>2026</v>
      </c>
      <c r="H982" t="e">
        <f>+VLOOKUP(export?format_csv_gid_612082435[[#This Row],[Valor]],Listas!A:B,2,FALSE)</f>
        <v>#N/A</v>
      </c>
    </row>
    <row r="983" spans="1:8" hidden="1" x14ac:dyDescent="0.3">
      <c r="A983" t="s">
        <v>72</v>
      </c>
      <c r="B983" t="s">
        <v>98</v>
      </c>
      <c r="C983" t="s">
        <v>143</v>
      </c>
      <c r="D983" s="19">
        <v>46163</v>
      </c>
      <c r="E983" t="s">
        <v>77</v>
      </c>
      <c r="F983">
        <f>+_xlfn.ISOWEEKNUM(export?format_csv_gid_612082435[[#This Row],[Fecha]])</f>
        <v>21</v>
      </c>
      <c r="G983">
        <f>+YEAR(export?format_csv_gid_612082435[[#This Row],[Fecha]])</f>
        <v>2026</v>
      </c>
      <c r="H983" t="e">
        <f>+VLOOKUP(export?format_csv_gid_612082435[[#This Row],[Valor]],Listas!A:B,2,FALSE)</f>
        <v>#N/A</v>
      </c>
    </row>
    <row r="984" spans="1:8" hidden="1" x14ac:dyDescent="0.3">
      <c r="A984" t="s">
        <v>72</v>
      </c>
      <c r="B984" t="s">
        <v>98</v>
      </c>
      <c r="C984" t="s">
        <v>143</v>
      </c>
      <c r="D984" s="19">
        <v>46164</v>
      </c>
      <c r="E984" t="s">
        <v>77</v>
      </c>
      <c r="F984">
        <f>+_xlfn.ISOWEEKNUM(export?format_csv_gid_612082435[[#This Row],[Fecha]])</f>
        <v>21</v>
      </c>
      <c r="G984">
        <f>+YEAR(export?format_csv_gid_612082435[[#This Row],[Fecha]])</f>
        <v>2026</v>
      </c>
      <c r="H984" t="e">
        <f>+VLOOKUP(export?format_csv_gid_612082435[[#This Row],[Valor]],Listas!A:B,2,FALSE)</f>
        <v>#N/A</v>
      </c>
    </row>
    <row r="985" spans="1:8" hidden="1" x14ac:dyDescent="0.3">
      <c r="A985" t="s">
        <v>72</v>
      </c>
      <c r="B985" t="s">
        <v>98</v>
      </c>
      <c r="C985" t="s">
        <v>143</v>
      </c>
      <c r="D985" s="19">
        <v>46165</v>
      </c>
      <c r="E985" t="s">
        <v>77</v>
      </c>
      <c r="F985">
        <f>+_xlfn.ISOWEEKNUM(export?format_csv_gid_612082435[[#This Row],[Fecha]])</f>
        <v>21</v>
      </c>
      <c r="G985">
        <f>+YEAR(export?format_csv_gid_612082435[[#This Row],[Fecha]])</f>
        <v>2026</v>
      </c>
      <c r="H985" t="e">
        <f>+VLOOKUP(export?format_csv_gid_612082435[[#This Row],[Valor]],Listas!A:B,2,FALSE)</f>
        <v>#N/A</v>
      </c>
    </row>
    <row r="986" spans="1:8" hidden="1" x14ac:dyDescent="0.3">
      <c r="A986" t="s">
        <v>72</v>
      </c>
      <c r="B986" t="s">
        <v>98</v>
      </c>
      <c r="C986" t="s">
        <v>143</v>
      </c>
      <c r="D986" s="19">
        <v>46166</v>
      </c>
      <c r="E986" t="s">
        <v>77</v>
      </c>
      <c r="F986">
        <f>+_xlfn.ISOWEEKNUM(export?format_csv_gid_612082435[[#This Row],[Fecha]])</f>
        <v>21</v>
      </c>
      <c r="G986">
        <f>+YEAR(export?format_csv_gid_612082435[[#This Row],[Fecha]])</f>
        <v>2026</v>
      </c>
      <c r="H986" t="e">
        <f>+VLOOKUP(export?format_csv_gid_612082435[[#This Row],[Valor]],Listas!A:B,2,FALSE)</f>
        <v>#N/A</v>
      </c>
    </row>
    <row r="987" spans="1:8" hidden="1" x14ac:dyDescent="0.3">
      <c r="A987" t="s">
        <v>72</v>
      </c>
      <c r="B987" t="s">
        <v>98</v>
      </c>
      <c r="C987" t="s">
        <v>143</v>
      </c>
      <c r="D987" s="19">
        <v>46167</v>
      </c>
      <c r="E987" t="s">
        <v>77</v>
      </c>
      <c r="F987">
        <f>+_xlfn.ISOWEEKNUM(export?format_csv_gid_612082435[[#This Row],[Fecha]])</f>
        <v>22</v>
      </c>
      <c r="G987">
        <f>+YEAR(export?format_csv_gid_612082435[[#This Row],[Fecha]])</f>
        <v>2026</v>
      </c>
      <c r="H987" t="e">
        <f>+VLOOKUP(export?format_csv_gid_612082435[[#This Row],[Valor]],Listas!A:B,2,FALSE)</f>
        <v>#N/A</v>
      </c>
    </row>
    <row r="988" spans="1:8" hidden="1" x14ac:dyDescent="0.3">
      <c r="A988" t="s">
        <v>72</v>
      </c>
      <c r="B988" t="s">
        <v>98</v>
      </c>
      <c r="C988" t="s">
        <v>143</v>
      </c>
      <c r="D988" s="19">
        <v>46168</v>
      </c>
      <c r="E988" t="s">
        <v>77</v>
      </c>
      <c r="F988">
        <f>+_xlfn.ISOWEEKNUM(export?format_csv_gid_612082435[[#This Row],[Fecha]])</f>
        <v>22</v>
      </c>
      <c r="G988">
        <f>+YEAR(export?format_csv_gid_612082435[[#This Row],[Fecha]])</f>
        <v>2026</v>
      </c>
      <c r="H988" t="e">
        <f>+VLOOKUP(export?format_csv_gid_612082435[[#This Row],[Valor]],Listas!A:B,2,FALSE)</f>
        <v>#N/A</v>
      </c>
    </row>
    <row r="989" spans="1:8" hidden="1" x14ac:dyDescent="0.3">
      <c r="A989" t="s">
        <v>72</v>
      </c>
      <c r="B989" t="s">
        <v>98</v>
      </c>
      <c r="C989" t="s">
        <v>143</v>
      </c>
      <c r="D989" s="19">
        <v>46169</v>
      </c>
      <c r="E989" t="s">
        <v>77</v>
      </c>
      <c r="F989">
        <f>+_xlfn.ISOWEEKNUM(export?format_csv_gid_612082435[[#This Row],[Fecha]])</f>
        <v>22</v>
      </c>
      <c r="G989">
        <f>+YEAR(export?format_csv_gid_612082435[[#This Row],[Fecha]])</f>
        <v>2026</v>
      </c>
      <c r="H989" t="e">
        <f>+VLOOKUP(export?format_csv_gid_612082435[[#This Row],[Valor]],Listas!A:B,2,FALSE)</f>
        <v>#N/A</v>
      </c>
    </row>
    <row r="990" spans="1:8" hidden="1" x14ac:dyDescent="0.3">
      <c r="A990" t="s">
        <v>72</v>
      </c>
      <c r="B990" t="s">
        <v>98</v>
      </c>
      <c r="C990" t="s">
        <v>143</v>
      </c>
      <c r="D990" s="19">
        <v>46170</v>
      </c>
      <c r="E990" t="s">
        <v>77</v>
      </c>
      <c r="F990">
        <f>+_xlfn.ISOWEEKNUM(export?format_csv_gid_612082435[[#This Row],[Fecha]])</f>
        <v>22</v>
      </c>
      <c r="G990">
        <f>+YEAR(export?format_csv_gid_612082435[[#This Row],[Fecha]])</f>
        <v>2026</v>
      </c>
      <c r="H990" t="e">
        <f>+VLOOKUP(export?format_csv_gid_612082435[[#This Row],[Valor]],Listas!A:B,2,FALSE)</f>
        <v>#N/A</v>
      </c>
    </row>
    <row r="991" spans="1:8" hidden="1" x14ac:dyDescent="0.3">
      <c r="A991" t="s">
        <v>72</v>
      </c>
      <c r="B991" t="s">
        <v>98</v>
      </c>
      <c r="C991" t="s">
        <v>143</v>
      </c>
      <c r="D991" s="19">
        <v>46171</v>
      </c>
      <c r="E991" t="s">
        <v>77</v>
      </c>
      <c r="F991">
        <f>+_xlfn.ISOWEEKNUM(export?format_csv_gid_612082435[[#This Row],[Fecha]])</f>
        <v>22</v>
      </c>
      <c r="G991">
        <f>+YEAR(export?format_csv_gid_612082435[[#This Row],[Fecha]])</f>
        <v>2026</v>
      </c>
      <c r="H991" t="e">
        <f>+VLOOKUP(export?format_csv_gid_612082435[[#This Row],[Valor]],Listas!A:B,2,FALSE)</f>
        <v>#N/A</v>
      </c>
    </row>
    <row r="992" spans="1:8" hidden="1" x14ac:dyDescent="0.3">
      <c r="A992" t="s">
        <v>72</v>
      </c>
      <c r="B992" t="s">
        <v>98</v>
      </c>
      <c r="C992" t="s">
        <v>143</v>
      </c>
      <c r="D992" s="19">
        <v>46172</v>
      </c>
      <c r="E992" t="s">
        <v>77</v>
      </c>
      <c r="F992">
        <f>+_xlfn.ISOWEEKNUM(export?format_csv_gid_612082435[[#This Row],[Fecha]])</f>
        <v>22</v>
      </c>
      <c r="G992">
        <f>+YEAR(export?format_csv_gid_612082435[[#This Row],[Fecha]])</f>
        <v>2026</v>
      </c>
      <c r="H992" t="e">
        <f>+VLOOKUP(export?format_csv_gid_612082435[[#This Row],[Valor]],Listas!A:B,2,FALSE)</f>
        <v>#N/A</v>
      </c>
    </row>
    <row r="993" spans="1:8" hidden="1" x14ac:dyDescent="0.3">
      <c r="A993" t="s">
        <v>72</v>
      </c>
      <c r="B993" t="s">
        <v>98</v>
      </c>
      <c r="C993" t="s">
        <v>143</v>
      </c>
      <c r="D993" s="19">
        <v>46173</v>
      </c>
      <c r="E993" t="s">
        <v>77</v>
      </c>
      <c r="F993">
        <f>+_xlfn.ISOWEEKNUM(export?format_csv_gid_612082435[[#This Row],[Fecha]])</f>
        <v>22</v>
      </c>
      <c r="G993">
        <f>+YEAR(export?format_csv_gid_612082435[[#This Row],[Fecha]])</f>
        <v>2026</v>
      </c>
      <c r="H993" t="e">
        <f>+VLOOKUP(export?format_csv_gid_612082435[[#This Row],[Valor]],Listas!A:B,2,FALSE)</f>
        <v>#N/A</v>
      </c>
    </row>
    <row r="994" spans="1:8" hidden="1" x14ac:dyDescent="0.3">
      <c r="A994" t="s">
        <v>72</v>
      </c>
      <c r="B994" t="s">
        <v>98</v>
      </c>
      <c r="C994" t="s">
        <v>142</v>
      </c>
      <c r="D994" s="19">
        <v>46143</v>
      </c>
      <c r="E994" t="s">
        <v>76</v>
      </c>
      <c r="F994">
        <f>+_xlfn.ISOWEEKNUM(export?format_csv_gid_612082435[[#This Row],[Fecha]])</f>
        <v>18</v>
      </c>
      <c r="G994">
        <f>+YEAR(export?format_csv_gid_612082435[[#This Row],[Fecha]])</f>
        <v>2026</v>
      </c>
      <c r="H994" t="str">
        <f>+VLOOKUP(export?format_csv_gid_612082435[[#This Row],[Valor]],Listas!A:B,2,FALSE)</f>
        <v>Asistencia</v>
      </c>
    </row>
    <row r="995" spans="1:8" hidden="1" x14ac:dyDescent="0.3">
      <c r="A995" t="s">
        <v>72</v>
      </c>
      <c r="B995" t="s">
        <v>98</v>
      </c>
      <c r="C995" t="s">
        <v>142</v>
      </c>
      <c r="D995" s="19">
        <v>46144</v>
      </c>
      <c r="E995" t="s">
        <v>76</v>
      </c>
      <c r="F995">
        <f>+_xlfn.ISOWEEKNUM(export?format_csv_gid_612082435[[#This Row],[Fecha]])</f>
        <v>18</v>
      </c>
      <c r="G995">
        <f>+YEAR(export?format_csv_gid_612082435[[#This Row],[Fecha]])</f>
        <v>2026</v>
      </c>
      <c r="H995" t="str">
        <f>+VLOOKUP(export?format_csv_gid_612082435[[#This Row],[Valor]],Listas!A:B,2,FALSE)</f>
        <v>Asistencia</v>
      </c>
    </row>
    <row r="996" spans="1:8" hidden="1" x14ac:dyDescent="0.3">
      <c r="A996" t="s">
        <v>72</v>
      </c>
      <c r="B996" t="s">
        <v>98</v>
      </c>
      <c r="C996" t="s">
        <v>142</v>
      </c>
      <c r="D996" s="19">
        <v>46145</v>
      </c>
      <c r="E996" t="s">
        <v>75</v>
      </c>
      <c r="F996">
        <f>+_xlfn.ISOWEEKNUM(export?format_csv_gid_612082435[[#This Row],[Fecha]])</f>
        <v>18</v>
      </c>
      <c r="G996">
        <f>+YEAR(export?format_csv_gid_612082435[[#This Row],[Fecha]])</f>
        <v>2026</v>
      </c>
      <c r="H996" t="str">
        <f>+VLOOKUP(export?format_csv_gid_612082435[[#This Row],[Valor]],Listas!A:B,2,FALSE)</f>
        <v>No Remunerado</v>
      </c>
    </row>
    <row r="997" spans="1:8" hidden="1" x14ac:dyDescent="0.3">
      <c r="A997" t="s">
        <v>72</v>
      </c>
      <c r="B997" t="s">
        <v>98</v>
      </c>
      <c r="C997" t="s">
        <v>142</v>
      </c>
      <c r="D997" s="19">
        <v>46146</v>
      </c>
      <c r="E997" t="s">
        <v>76</v>
      </c>
      <c r="F997">
        <f>+_xlfn.ISOWEEKNUM(export?format_csv_gid_612082435[[#This Row],[Fecha]])</f>
        <v>19</v>
      </c>
      <c r="G997">
        <f>+YEAR(export?format_csv_gid_612082435[[#This Row],[Fecha]])</f>
        <v>2026</v>
      </c>
      <c r="H997" t="str">
        <f>+VLOOKUP(export?format_csv_gid_612082435[[#This Row],[Valor]],Listas!A:B,2,FALSE)</f>
        <v>Asistencia</v>
      </c>
    </row>
    <row r="998" spans="1:8" hidden="1" x14ac:dyDescent="0.3">
      <c r="A998" t="s">
        <v>72</v>
      </c>
      <c r="B998" t="s">
        <v>98</v>
      </c>
      <c r="C998" t="s">
        <v>142</v>
      </c>
      <c r="D998" s="19">
        <v>46147</v>
      </c>
      <c r="E998" t="s">
        <v>76</v>
      </c>
      <c r="F998">
        <f>+_xlfn.ISOWEEKNUM(export?format_csv_gid_612082435[[#This Row],[Fecha]])</f>
        <v>19</v>
      </c>
      <c r="G998">
        <f>+YEAR(export?format_csv_gid_612082435[[#This Row],[Fecha]])</f>
        <v>2026</v>
      </c>
      <c r="H998" t="str">
        <f>+VLOOKUP(export?format_csv_gid_612082435[[#This Row],[Valor]],Listas!A:B,2,FALSE)</f>
        <v>Asistencia</v>
      </c>
    </row>
    <row r="999" spans="1:8" hidden="1" x14ac:dyDescent="0.3">
      <c r="A999" t="s">
        <v>72</v>
      </c>
      <c r="B999" t="s">
        <v>98</v>
      </c>
      <c r="C999" t="s">
        <v>142</v>
      </c>
      <c r="D999" s="19">
        <v>46148</v>
      </c>
      <c r="E999" t="s">
        <v>76</v>
      </c>
      <c r="F999">
        <f>+_xlfn.ISOWEEKNUM(export?format_csv_gid_612082435[[#This Row],[Fecha]])</f>
        <v>19</v>
      </c>
      <c r="G999">
        <f>+YEAR(export?format_csv_gid_612082435[[#This Row],[Fecha]])</f>
        <v>2026</v>
      </c>
      <c r="H999" t="str">
        <f>+VLOOKUP(export?format_csv_gid_612082435[[#This Row],[Valor]],Listas!A:B,2,FALSE)</f>
        <v>Asistencia</v>
      </c>
    </row>
    <row r="1000" spans="1:8" hidden="1" x14ac:dyDescent="0.3">
      <c r="A1000" t="s">
        <v>72</v>
      </c>
      <c r="B1000" t="s">
        <v>98</v>
      </c>
      <c r="C1000" t="s">
        <v>142</v>
      </c>
      <c r="D1000" s="19">
        <v>46149</v>
      </c>
      <c r="E1000" t="s">
        <v>76</v>
      </c>
      <c r="F1000">
        <f>+_xlfn.ISOWEEKNUM(export?format_csv_gid_612082435[[#This Row],[Fecha]])</f>
        <v>19</v>
      </c>
      <c r="G1000">
        <f>+YEAR(export?format_csv_gid_612082435[[#This Row],[Fecha]])</f>
        <v>2026</v>
      </c>
      <c r="H1000" t="str">
        <f>+VLOOKUP(export?format_csv_gid_612082435[[#This Row],[Valor]],Listas!A:B,2,FALSE)</f>
        <v>Asistencia</v>
      </c>
    </row>
    <row r="1001" spans="1:8" hidden="1" x14ac:dyDescent="0.3">
      <c r="A1001" t="s">
        <v>72</v>
      </c>
      <c r="B1001" t="s">
        <v>98</v>
      </c>
      <c r="C1001" t="s">
        <v>142</v>
      </c>
      <c r="D1001" s="19">
        <v>46150</v>
      </c>
      <c r="E1001" t="s">
        <v>76</v>
      </c>
      <c r="F1001">
        <f>+_xlfn.ISOWEEKNUM(export?format_csv_gid_612082435[[#This Row],[Fecha]])</f>
        <v>19</v>
      </c>
      <c r="G1001">
        <f>+YEAR(export?format_csv_gid_612082435[[#This Row],[Fecha]])</f>
        <v>2026</v>
      </c>
      <c r="H1001" t="str">
        <f>+VLOOKUP(export?format_csv_gid_612082435[[#This Row],[Valor]],Listas!A:B,2,FALSE)</f>
        <v>Asistencia</v>
      </c>
    </row>
    <row r="1002" spans="1:8" hidden="1" x14ac:dyDescent="0.3">
      <c r="A1002" t="s">
        <v>72</v>
      </c>
      <c r="B1002" t="s">
        <v>98</v>
      </c>
      <c r="C1002" t="s">
        <v>142</v>
      </c>
      <c r="D1002" s="19">
        <v>46151</v>
      </c>
      <c r="E1002" t="s">
        <v>76</v>
      </c>
      <c r="F1002">
        <f>+_xlfn.ISOWEEKNUM(export?format_csv_gid_612082435[[#This Row],[Fecha]])</f>
        <v>19</v>
      </c>
      <c r="G1002">
        <f>+YEAR(export?format_csv_gid_612082435[[#This Row],[Fecha]])</f>
        <v>2026</v>
      </c>
      <c r="H1002" t="str">
        <f>+VLOOKUP(export?format_csv_gid_612082435[[#This Row],[Valor]],Listas!A:B,2,FALSE)</f>
        <v>Asistencia</v>
      </c>
    </row>
    <row r="1003" spans="1:8" hidden="1" x14ac:dyDescent="0.3">
      <c r="A1003" t="s">
        <v>72</v>
      </c>
      <c r="B1003" t="s">
        <v>98</v>
      </c>
      <c r="C1003" t="s">
        <v>142</v>
      </c>
      <c r="D1003" s="19">
        <v>46152</v>
      </c>
      <c r="E1003" t="s">
        <v>113</v>
      </c>
      <c r="F1003">
        <f>+_xlfn.ISOWEEKNUM(export?format_csv_gid_612082435[[#This Row],[Fecha]])</f>
        <v>19</v>
      </c>
      <c r="G1003">
        <f>+YEAR(export?format_csv_gid_612082435[[#This Row],[Fecha]])</f>
        <v>2026</v>
      </c>
      <c r="H1003" t="str">
        <f>+VLOOKUP(export?format_csv_gid_612082435[[#This Row],[Valor]],Listas!A:B,2,FALSE)</f>
        <v>D. Remunerado</v>
      </c>
    </row>
    <row r="1004" spans="1:8" hidden="1" x14ac:dyDescent="0.3">
      <c r="A1004" t="s">
        <v>72</v>
      </c>
      <c r="B1004" t="s">
        <v>98</v>
      </c>
      <c r="C1004" t="s">
        <v>142</v>
      </c>
      <c r="D1004" s="19">
        <v>46153</v>
      </c>
      <c r="E1004" t="s">
        <v>76</v>
      </c>
      <c r="F1004">
        <f>+_xlfn.ISOWEEKNUM(export?format_csv_gid_612082435[[#This Row],[Fecha]])</f>
        <v>20</v>
      </c>
      <c r="G1004">
        <f>+YEAR(export?format_csv_gid_612082435[[#This Row],[Fecha]])</f>
        <v>2026</v>
      </c>
      <c r="H1004" t="str">
        <f>+VLOOKUP(export?format_csv_gid_612082435[[#This Row],[Valor]],Listas!A:B,2,FALSE)</f>
        <v>Asistencia</v>
      </c>
    </row>
    <row r="1005" spans="1:8" hidden="1" x14ac:dyDescent="0.3">
      <c r="A1005" t="s">
        <v>72</v>
      </c>
      <c r="B1005" t="s">
        <v>98</v>
      </c>
      <c r="C1005" t="s">
        <v>142</v>
      </c>
      <c r="D1005" s="19">
        <v>46154</v>
      </c>
      <c r="E1005" t="s">
        <v>76</v>
      </c>
      <c r="F1005">
        <f>+_xlfn.ISOWEEKNUM(export?format_csv_gid_612082435[[#This Row],[Fecha]])</f>
        <v>20</v>
      </c>
      <c r="G1005">
        <f>+YEAR(export?format_csv_gid_612082435[[#This Row],[Fecha]])</f>
        <v>2026</v>
      </c>
      <c r="H1005" t="str">
        <f>+VLOOKUP(export?format_csv_gid_612082435[[#This Row],[Valor]],Listas!A:B,2,FALSE)</f>
        <v>Asistencia</v>
      </c>
    </row>
    <row r="1006" spans="1:8" hidden="1" x14ac:dyDescent="0.3">
      <c r="A1006" t="s">
        <v>72</v>
      </c>
      <c r="B1006" t="s">
        <v>98</v>
      </c>
      <c r="C1006" t="s">
        <v>142</v>
      </c>
      <c r="D1006" s="19">
        <v>46155</v>
      </c>
      <c r="E1006" t="s">
        <v>76</v>
      </c>
      <c r="F1006">
        <f>+_xlfn.ISOWEEKNUM(export?format_csv_gid_612082435[[#This Row],[Fecha]])</f>
        <v>20</v>
      </c>
      <c r="G1006">
        <f>+YEAR(export?format_csv_gid_612082435[[#This Row],[Fecha]])</f>
        <v>2026</v>
      </c>
      <c r="H1006" t="str">
        <f>+VLOOKUP(export?format_csv_gid_612082435[[#This Row],[Valor]],Listas!A:B,2,FALSE)</f>
        <v>Asistencia</v>
      </c>
    </row>
    <row r="1007" spans="1:8" hidden="1" x14ac:dyDescent="0.3">
      <c r="A1007" t="s">
        <v>72</v>
      </c>
      <c r="B1007" t="s">
        <v>98</v>
      </c>
      <c r="C1007" t="s">
        <v>142</v>
      </c>
      <c r="D1007" s="19">
        <v>46156</v>
      </c>
      <c r="E1007" t="s">
        <v>76</v>
      </c>
      <c r="F1007">
        <f>+_xlfn.ISOWEEKNUM(export?format_csv_gid_612082435[[#This Row],[Fecha]])</f>
        <v>20</v>
      </c>
      <c r="G1007">
        <f>+YEAR(export?format_csv_gid_612082435[[#This Row],[Fecha]])</f>
        <v>2026</v>
      </c>
      <c r="H1007" t="str">
        <f>+VLOOKUP(export?format_csv_gid_612082435[[#This Row],[Valor]],Listas!A:B,2,FALSE)</f>
        <v>Asistencia</v>
      </c>
    </row>
    <row r="1008" spans="1:8" hidden="1" x14ac:dyDescent="0.3">
      <c r="A1008" t="s">
        <v>72</v>
      </c>
      <c r="B1008" t="s">
        <v>98</v>
      </c>
      <c r="C1008" t="s">
        <v>142</v>
      </c>
      <c r="D1008" s="19">
        <v>46157</v>
      </c>
      <c r="E1008" t="s">
        <v>76</v>
      </c>
      <c r="F1008">
        <f>+_xlfn.ISOWEEKNUM(export?format_csv_gid_612082435[[#This Row],[Fecha]])</f>
        <v>20</v>
      </c>
      <c r="G1008">
        <f>+YEAR(export?format_csv_gid_612082435[[#This Row],[Fecha]])</f>
        <v>2026</v>
      </c>
      <c r="H1008" t="str">
        <f>+VLOOKUP(export?format_csv_gid_612082435[[#This Row],[Valor]],Listas!A:B,2,FALSE)</f>
        <v>Asistencia</v>
      </c>
    </row>
    <row r="1009" spans="1:8" hidden="1" x14ac:dyDescent="0.3">
      <c r="A1009" t="s">
        <v>72</v>
      </c>
      <c r="B1009" t="s">
        <v>98</v>
      </c>
      <c r="C1009" t="s">
        <v>142</v>
      </c>
      <c r="D1009" s="19">
        <v>46158</v>
      </c>
      <c r="E1009" t="s">
        <v>77</v>
      </c>
      <c r="F1009">
        <f>+_xlfn.ISOWEEKNUM(export?format_csv_gid_612082435[[#This Row],[Fecha]])</f>
        <v>20</v>
      </c>
      <c r="G1009">
        <f>+YEAR(export?format_csv_gid_612082435[[#This Row],[Fecha]])</f>
        <v>2026</v>
      </c>
      <c r="H1009" t="e">
        <f>+VLOOKUP(export?format_csv_gid_612082435[[#This Row],[Valor]],Listas!A:B,2,FALSE)</f>
        <v>#N/A</v>
      </c>
    </row>
    <row r="1010" spans="1:8" hidden="1" x14ac:dyDescent="0.3">
      <c r="A1010" t="s">
        <v>72</v>
      </c>
      <c r="B1010" t="s">
        <v>98</v>
      </c>
      <c r="C1010" t="s">
        <v>142</v>
      </c>
      <c r="D1010" s="19">
        <v>46159</v>
      </c>
      <c r="E1010" t="s">
        <v>77</v>
      </c>
      <c r="F1010">
        <f>+_xlfn.ISOWEEKNUM(export?format_csv_gid_612082435[[#This Row],[Fecha]])</f>
        <v>20</v>
      </c>
      <c r="G1010">
        <f>+YEAR(export?format_csv_gid_612082435[[#This Row],[Fecha]])</f>
        <v>2026</v>
      </c>
      <c r="H1010" t="e">
        <f>+VLOOKUP(export?format_csv_gid_612082435[[#This Row],[Valor]],Listas!A:B,2,FALSE)</f>
        <v>#N/A</v>
      </c>
    </row>
    <row r="1011" spans="1:8" hidden="1" x14ac:dyDescent="0.3">
      <c r="A1011" t="s">
        <v>72</v>
      </c>
      <c r="B1011" t="s">
        <v>98</v>
      </c>
      <c r="C1011" t="s">
        <v>142</v>
      </c>
      <c r="D1011" s="19">
        <v>46160</v>
      </c>
      <c r="E1011" t="s">
        <v>77</v>
      </c>
      <c r="F1011">
        <f>+_xlfn.ISOWEEKNUM(export?format_csv_gid_612082435[[#This Row],[Fecha]])</f>
        <v>21</v>
      </c>
      <c r="G1011">
        <f>+YEAR(export?format_csv_gid_612082435[[#This Row],[Fecha]])</f>
        <v>2026</v>
      </c>
      <c r="H1011" t="e">
        <f>+VLOOKUP(export?format_csv_gid_612082435[[#This Row],[Valor]],Listas!A:B,2,FALSE)</f>
        <v>#N/A</v>
      </c>
    </row>
    <row r="1012" spans="1:8" hidden="1" x14ac:dyDescent="0.3">
      <c r="A1012" t="s">
        <v>72</v>
      </c>
      <c r="B1012" t="s">
        <v>98</v>
      </c>
      <c r="C1012" t="s">
        <v>142</v>
      </c>
      <c r="D1012" s="19">
        <v>46161</v>
      </c>
      <c r="E1012" t="s">
        <v>77</v>
      </c>
      <c r="F1012">
        <f>+_xlfn.ISOWEEKNUM(export?format_csv_gid_612082435[[#This Row],[Fecha]])</f>
        <v>21</v>
      </c>
      <c r="G1012">
        <f>+YEAR(export?format_csv_gid_612082435[[#This Row],[Fecha]])</f>
        <v>2026</v>
      </c>
      <c r="H1012" t="e">
        <f>+VLOOKUP(export?format_csv_gid_612082435[[#This Row],[Valor]],Listas!A:B,2,FALSE)</f>
        <v>#N/A</v>
      </c>
    </row>
    <row r="1013" spans="1:8" hidden="1" x14ac:dyDescent="0.3">
      <c r="A1013" t="s">
        <v>72</v>
      </c>
      <c r="B1013" t="s">
        <v>98</v>
      </c>
      <c r="C1013" t="s">
        <v>142</v>
      </c>
      <c r="D1013" s="19">
        <v>46162</v>
      </c>
      <c r="E1013" t="s">
        <v>77</v>
      </c>
      <c r="F1013">
        <f>+_xlfn.ISOWEEKNUM(export?format_csv_gid_612082435[[#This Row],[Fecha]])</f>
        <v>21</v>
      </c>
      <c r="G1013">
        <f>+YEAR(export?format_csv_gid_612082435[[#This Row],[Fecha]])</f>
        <v>2026</v>
      </c>
      <c r="H1013" t="e">
        <f>+VLOOKUP(export?format_csv_gid_612082435[[#This Row],[Valor]],Listas!A:B,2,FALSE)</f>
        <v>#N/A</v>
      </c>
    </row>
    <row r="1014" spans="1:8" hidden="1" x14ac:dyDescent="0.3">
      <c r="A1014" t="s">
        <v>72</v>
      </c>
      <c r="B1014" t="s">
        <v>98</v>
      </c>
      <c r="C1014" t="s">
        <v>142</v>
      </c>
      <c r="D1014" s="19">
        <v>46163</v>
      </c>
      <c r="E1014" t="s">
        <v>77</v>
      </c>
      <c r="F1014">
        <f>+_xlfn.ISOWEEKNUM(export?format_csv_gid_612082435[[#This Row],[Fecha]])</f>
        <v>21</v>
      </c>
      <c r="G1014">
        <f>+YEAR(export?format_csv_gid_612082435[[#This Row],[Fecha]])</f>
        <v>2026</v>
      </c>
      <c r="H1014" t="e">
        <f>+VLOOKUP(export?format_csv_gid_612082435[[#This Row],[Valor]],Listas!A:B,2,FALSE)</f>
        <v>#N/A</v>
      </c>
    </row>
    <row r="1015" spans="1:8" hidden="1" x14ac:dyDescent="0.3">
      <c r="A1015" t="s">
        <v>72</v>
      </c>
      <c r="B1015" t="s">
        <v>98</v>
      </c>
      <c r="C1015" t="s">
        <v>142</v>
      </c>
      <c r="D1015" s="19">
        <v>46164</v>
      </c>
      <c r="E1015" t="s">
        <v>77</v>
      </c>
      <c r="F1015">
        <f>+_xlfn.ISOWEEKNUM(export?format_csv_gid_612082435[[#This Row],[Fecha]])</f>
        <v>21</v>
      </c>
      <c r="G1015">
        <f>+YEAR(export?format_csv_gid_612082435[[#This Row],[Fecha]])</f>
        <v>2026</v>
      </c>
      <c r="H1015" t="e">
        <f>+VLOOKUP(export?format_csv_gid_612082435[[#This Row],[Valor]],Listas!A:B,2,FALSE)</f>
        <v>#N/A</v>
      </c>
    </row>
    <row r="1016" spans="1:8" hidden="1" x14ac:dyDescent="0.3">
      <c r="A1016" t="s">
        <v>72</v>
      </c>
      <c r="B1016" t="s">
        <v>98</v>
      </c>
      <c r="C1016" t="s">
        <v>142</v>
      </c>
      <c r="D1016" s="19">
        <v>46165</v>
      </c>
      <c r="E1016" t="s">
        <v>77</v>
      </c>
      <c r="F1016">
        <f>+_xlfn.ISOWEEKNUM(export?format_csv_gid_612082435[[#This Row],[Fecha]])</f>
        <v>21</v>
      </c>
      <c r="G1016">
        <f>+YEAR(export?format_csv_gid_612082435[[#This Row],[Fecha]])</f>
        <v>2026</v>
      </c>
      <c r="H1016" t="e">
        <f>+VLOOKUP(export?format_csv_gid_612082435[[#This Row],[Valor]],Listas!A:B,2,FALSE)</f>
        <v>#N/A</v>
      </c>
    </row>
    <row r="1017" spans="1:8" hidden="1" x14ac:dyDescent="0.3">
      <c r="A1017" t="s">
        <v>72</v>
      </c>
      <c r="B1017" t="s">
        <v>98</v>
      </c>
      <c r="C1017" t="s">
        <v>142</v>
      </c>
      <c r="D1017" s="19">
        <v>46166</v>
      </c>
      <c r="E1017" t="s">
        <v>77</v>
      </c>
      <c r="F1017">
        <f>+_xlfn.ISOWEEKNUM(export?format_csv_gid_612082435[[#This Row],[Fecha]])</f>
        <v>21</v>
      </c>
      <c r="G1017">
        <f>+YEAR(export?format_csv_gid_612082435[[#This Row],[Fecha]])</f>
        <v>2026</v>
      </c>
      <c r="H1017" t="e">
        <f>+VLOOKUP(export?format_csv_gid_612082435[[#This Row],[Valor]],Listas!A:B,2,FALSE)</f>
        <v>#N/A</v>
      </c>
    </row>
    <row r="1018" spans="1:8" hidden="1" x14ac:dyDescent="0.3">
      <c r="A1018" t="s">
        <v>72</v>
      </c>
      <c r="B1018" t="s">
        <v>98</v>
      </c>
      <c r="C1018" t="s">
        <v>142</v>
      </c>
      <c r="D1018" s="19">
        <v>46167</v>
      </c>
      <c r="E1018" t="s">
        <v>77</v>
      </c>
      <c r="F1018">
        <f>+_xlfn.ISOWEEKNUM(export?format_csv_gid_612082435[[#This Row],[Fecha]])</f>
        <v>22</v>
      </c>
      <c r="G1018">
        <f>+YEAR(export?format_csv_gid_612082435[[#This Row],[Fecha]])</f>
        <v>2026</v>
      </c>
      <c r="H1018" t="e">
        <f>+VLOOKUP(export?format_csv_gid_612082435[[#This Row],[Valor]],Listas!A:B,2,FALSE)</f>
        <v>#N/A</v>
      </c>
    </row>
    <row r="1019" spans="1:8" hidden="1" x14ac:dyDescent="0.3">
      <c r="A1019" t="s">
        <v>72</v>
      </c>
      <c r="B1019" t="s">
        <v>98</v>
      </c>
      <c r="C1019" t="s">
        <v>142</v>
      </c>
      <c r="D1019" s="19">
        <v>46168</v>
      </c>
      <c r="E1019" t="s">
        <v>77</v>
      </c>
      <c r="F1019">
        <f>+_xlfn.ISOWEEKNUM(export?format_csv_gid_612082435[[#This Row],[Fecha]])</f>
        <v>22</v>
      </c>
      <c r="G1019">
        <f>+YEAR(export?format_csv_gid_612082435[[#This Row],[Fecha]])</f>
        <v>2026</v>
      </c>
      <c r="H1019" t="e">
        <f>+VLOOKUP(export?format_csv_gid_612082435[[#This Row],[Valor]],Listas!A:B,2,FALSE)</f>
        <v>#N/A</v>
      </c>
    </row>
    <row r="1020" spans="1:8" hidden="1" x14ac:dyDescent="0.3">
      <c r="A1020" t="s">
        <v>72</v>
      </c>
      <c r="B1020" t="s">
        <v>98</v>
      </c>
      <c r="C1020" t="s">
        <v>142</v>
      </c>
      <c r="D1020" s="19">
        <v>46169</v>
      </c>
      <c r="E1020" t="s">
        <v>77</v>
      </c>
      <c r="F1020">
        <f>+_xlfn.ISOWEEKNUM(export?format_csv_gid_612082435[[#This Row],[Fecha]])</f>
        <v>22</v>
      </c>
      <c r="G1020">
        <f>+YEAR(export?format_csv_gid_612082435[[#This Row],[Fecha]])</f>
        <v>2026</v>
      </c>
      <c r="H1020" t="e">
        <f>+VLOOKUP(export?format_csv_gid_612082435[[#This Row],[Valor]],Listas!A:B,2,FALSE)</f>
        <v>#N/A</v>
      </c>
    </row>
    <row r="1021" spans="1:8" hidden="1" x14ac:dyDescent="0.3">
      <c r="A1021" t="s">
        <v>72</v>
      </c>
      <c r="B1021" t="s">
        <v>98</v>
      </c>
      <c r="C1021" t="s">
        <v>142</v>
      </c>
      <c r="D1021" s="19">
        <v>46170</v>
      </c>
      <c r="E1021" t="s">
        <v>77</v>
      </c>
      <c r="F1021">
        <f>+_xlfn.ISOWEEKNUM(export?format_csv_gid_612082435[[#This Row],[Fecha]])</f>
        <v>22</v>
      </c>
      <c r="G1021">
        <f>+YEAR(export?format_csv_gid_612082435[[#This Row],[Fecha]])</f>
        <v>2026</v>
      </c>
      <c r="H1021" t="e">
        <f>+VLOOKUP(export?format_csv_gid_612082435[[#This Row],[Valor]],Listas!A:B,2,FALSE)</f>
        <v>#N/A</v>
      </c>
    </row>
    <row r="1022" spans="1:8" hidden="1" x14ac:dyDescent="0.3">
      <c r="A1022" t="s">
        <v>72</v>
      </c>
      <c r="B1022" t="s">
        <v>98</v>
      </c>
      <c r="C1022" t="s">
        <v>142</v>
      </c>
      <c r="D1022" s="19">
        <v>46171</v>
      </c>
      <c r="E1022" t="s">
        <v>77</v>
      </c>
      <c r="F1022">
        <f>+_xlfn.ISOWEEKNUM(export?format_csv_gid_612082435[[#This Row],[Fecha]])</f>
        <v>22</v>
      </c>
      <c r="G1022">
        <f>+YEAR(export?format_csv_gid_612082435[[#This Row],[Fecha]])</f>
        <v>2026</v>
      </c>
      <c r="H1022" t="e">
        <f>+VLOOKUP(export?format_csv_gid_612082435[[#This Row],[Valor]],Listas!A:B,2,FALSE)</f>
        <v>#N/A</v>
      </c>
    </row>
    <row r="1023" spans="1:8" hidden="1" x14ac:dyDescent="0.3">
      <c r="A1023" t="s">
        <v>72</v>
      </c>
      <c r="B1023" t="s">
        <v>98</v>
      </c>
      <c r="C1023" t="s">
        <v>142</v>
      </c>
      <c r="D1023" s="19">
        <v>46172</v>
      </c>
      <c r="E1023" t="s">
        <v>77</v>
      </c>
      <c r="F1023">
        <f>+_xlfn.ISOWEEKNUM(export?format_csv_gid_612082435[[#This Row],[Fecha]])</f>
        <v>22</v>
      </c>
      <c r="G1023">
        <f>+YEAR(export?format_csv_gid_612082435[[#This Row],[Fecha]])</f>
        <v>2026</v>
      </c>
      <c r="H1023" t="e">
        <f>+VLOOKUP(export?format_csv_gid_612082435[[#This Row],[Valor]],Listas!A:B,2,FALSE)</f>
        <v>#N/A</v>
      </c>
    </row>
    <row r="1024" spans="1:8" hidden="1" x14ac:dyDescent="0.3">
      <c r="A1024" t="s">
        <v>72</v>
      </c>
      <c r="B1024" t="s">
        <v>98</v>
      </c>
      <c r="C1024" t="s">
        <v>142</v>
      </c>
      <c r="D1024" s="19">
        <v>46173</v>
      </c>
      <c r="E1024" t="s">
        <v>77</v>
      </c>
      <c r="F1024">
        <f>+_xlfn.ISOWEEKNUM(export?format_csv_gid_612082435[[#This Row],[Fecha]])</f>
        <v>22</v>
      </c>
      <c r="G1024">
        <f>+YEAR(export?format_csv_gid_612082435[[#This Row],[Fecha]])</f>
        <v>2026</v>
      </c>
      <c r="H1024" t="e">
        <f>+VLOOKUP(export?format_csv_gid_612082435[[#This Row],[Valor]],Listas!A:B,2,FALSE)</f>
        <v>#N/A</v>
      </c>
    </row>
    <row r="1025" spans="1:8" hidden="1" x14ac:dyDescent="0.3">
      <c r="A1025" t="s">
        <v>72</v>
      </c>
      <c r="B1025" t="s">
        <v>98</v>
      </c>
      <c r="C1025" t="s">
        <v>101</v>
      </c>
      <c r="D1025" s="19">
        <v>46143</v>
      </c>
      <c r="E1025" t="s">
        <v>75</v>
      </c>
      <c r="F1025">
        <f>+_xlfn.ISOWEEKNUM(export?format_csv_gid_612082435[[#This Row],[Fecha]])</f>
        <v>18</v>
      </c>
      <c r="G1025">
        <f>+YEAR(export?format_csv_gid_612082435[[#This Row],[Fecha]])</f>
        <v>2026</v>
      </c>
      <c r="H1025" t="str">
        <f>+VLOOKUP(export?format_csv_gid_612082435[[#This Row],[Valor]],Listas!A:B,2,FALSE)</f>
        <v>No Remunerado</v>
      </c>
    </row>
    <row r="1026" spans="1:8" hidden="1" x14ac:dyDescent="0.3">
      <c r="A1026" t="s">
        <v>72</v>
      </c>
      <c r="B1026" t="s">
        <v>98</v>
      </c>
      <c r="C1026" t="s">
        <v>101</v>
      </c>
      <c r="D1026" s="19">
        <v>46144</v>
      </c>
      <c r="E1026" t="s">
        <v>76</v>
      </c>
      <c r="F1026">
        <f>+_xlfn.ISOWEEKNUM(export?format_csv_gid_612082435[[#This Row],[Fecha]])</f>
        <v>18</v>
      </c>
      <c r="G1026">
        <f>+YEAR(export?format_csv_gid_612082435[[#This Row],[Fecha]])</f>
        <v>2026</v>
      </c>
      <c r="H1026" t="str">
        <f>+VLOOKUP(export?format_csv_gid_612082435[[#This Row],[Valor]],Listas!A:B,2,FALSE)</f>
        <v>Asistencia</v>
      </c>
    </row>
    <row r="1027" spans="1:8" hidden="1" x14ac:dyDescent="0.3">
      <c r="A1027" t="s">
        <v>72</v>
      </c>
      <c r="B1027" t="s">
        <v>98</v>
      </c>
      <c r="C1027" t="s">
        <v>101</v>
      </c>
      <c r="D1027" s="19">
        <v>46145</v>
      </c>
      <c r="E1027" t="s">
        <v>75</v>
      </c>
      <c r="F1027">
        <f>+_xlfn.ISOWEEKNUM(export?format_csv_gid_612082435[[#This Row],[Fecha]])</f>
        <v>18</v>
      </c>
      <c r="G1027">
        <f>+YEAR(export?format_csv_gid_612082435[[#This Row],[Fecha]])</f>
        <v>2026</v>
      </c>
      <c r="H1027" t="str">
        <f>+VLOOKUP(export?format_csv_gid_612082435[[#This Row],[Valor]],Listas!A:B,2,FALSE)</f>
        <v>No Remunerado</v>
      </c>
    </row>
    <row r="1028" spans="1:8" hidden="1" x14ac:dyDescent="0.3">
      <c r="A1028" t="s">
        <v>72</v>
      </c>
      <c r="B1028" t="s">
        <v>98</v>
      </c>
      <c r="C1028" t="s">
        <v>101</v>
      </c>
      <c r="D1028" s="19">
        <v>46146</v>
      </c>
      <c r="E1028" t="s">
        <v>76</v>
      </c>
      <c r="F1028">
        <f>+_xlfn.ISOWEEKNUM(export?format_csv_gid_612082435[[#This Row],[Fecha]])</f>
        <v>19</v>
      </c>
      <c r="G1028">
        <f>+YEAR(export?format_csv_gid_612082435[[#This Row],[Fecha]])</f>
        <v>2026</v>
      </c>
      <c r="H1028" t="str">
        <f>+VLOOKUP(export?format_csv_gid_612082435[[#This Row],[Valor]],Listas!A:B,2,FALSE)</f>
        <v>Asistencia</v>
      </c>
    </row>
    <row r="1029" spans="1:8" hidden="1" x14ac:dyDescent="0.3">
      <c r="A1029" t="s">
        <v>72</v>
      </c>
      <c r="B1029" t="s">
        <v>98</v>
      </c>
      <c r="C1029" t="s">
        <v>101</v>
      </c>
      <c r="D1029" s="19">
        <v>46147</v>
      </c>
      <c r="E1029" t="s">
        <v>76</v>
      </c>
      <c r="F1029">
        <f>+_xlfn.ISOWEEKNUM(export?format_csv_gid_612082435[[#This Row],[Fecha]])</f>
        <v>19</v>
      </c>
      <c r="G1029">
        <f>+YEAR(export?format_csv_gid_612082435[[#This Row],[Fecha]])</f>
        <v>2026</v>
      </c>
      <c r="H1029" t="str">
        <f>+VLOOKUP(export?format_csv_gid_612082435[[#This Row],[Valor]],Listas!A:B,2,FALSE)</f>
        <v>Asistencia</v>
      </c>
    </row>
    <row r="1030" spans="1:8" hidden="1" x14ac:dyDescent="0.3">
      <c r="A1030" t="s">
        <v>72</v>
      </c>
      <c r="B1030" t="s">
        <v>98</v>
      </c>
      <c r="C1030" t="s">
        <v>101</v>
      </c>
      <c r="D1030" s="19">
        <v>46148</v>
      </c>
      <c r="E1030" t="s">
        <v>76</v>
      </c>
      <c r="F1030">
        <f>+_xlfn.ISOWEEKNUM(export?format_csv_gid_612082435[[#This Row],[Fecha]])</f>
        <v>19</v>
      </c>
      <c r="G1030">
        <f>+YEAR(export?format_csv_gid_612082435[[#This Row],[Fecha]])</f>
        <v>2026</v>
      </c>
      <c r="H1030" t="str">
        <f>+VLOOKUP(export?format_csv_gid_612082435[[#This Row],[Valor]],Listas!A:B,2,FALSE)</f>
        <v>Asistencia</v>
      </c>
    </row>
    <row r="1031" spans="1:8" hidden="1" x14ac:dyDescent="0.3">
      <c r="A1031" t="s">
        <v>72</v>
      </c>
      <c r="B1031" t="s">
        <v>98</v>
      </c>
      <c r="C1031" t="s">
        <v>101</v>
      </c>
      <c r="D1031" s="19">
        <v>46149</v>
      </c>
      <c r="E1031" t="s">
        <v>76</v>
      </c>
      <c r="F1031">
        <f>+_xlfn.ISOWEEKNUM(export?format_csv_gid_612082435[[#This Row],[Fecha]])</f>
        <v>19</v>
      </c>
      <c r="G1031">
        <f>+YEAR(export?format_csv_gid_612082435[[#This Row],[Fecha]])</f>
        <v>2026</v>
      </c>
      <c r="H1031" t="str">
        <f>+VLOOKUP(export?format_csv_gid_612082435[[#This Row],[Valor]],Listas!A:B,2,FALSE)</f>
        <v>Asistencia</v>
      </c>
    </row>
    <row r="1032" spans="1:8" hidden="1" x14ac:dyDescent="0.3">
      <c r="A1032" t="s">
        <v>72</v>
      </c>
      <c r="B1032" t="s">
        <v>98</v>
      </c>
      <c r="C1032" t="s">
        <v>101</v>
      </c>
      <c r="D1032" s="19">
        <v>46150</v>
      </c>
      <c r="E1032" t="s">
        <v>76</v>
      </c>
      <c r="F1032">
        <f>+_xlfn.ISOWEEKNUM(export?format_csv_gid_612082435[[#This Row],[Fecha]])</f>
        <v>19</v>
      </c>
      <c r="G1032">
        <f>+YEAR(export?format_csv_gid_612082435[[#This Row],[Fecha]])</f>
        <v>2026</v>
      </c>
      <c r="H1032" t="str">
        <f>+VLOOKUP(export?format_csv_gid_612082435[[#This Row],[Valor]],Listas!A:B,2,FALSE)</f>
        <v>Asistencia</v>
      </c>
    </row>
    <row r="1033" spans="1:8" hidden="1" x14ac:dyDescent="0.3">
      <c r="A1033" t="s">
        <v>72</v>
      </c>
      <c r="B1033" t="s">
        <v>98</v>
      </c>
      <c r="C1033" t="s">
        <v>101</v>
      </c>
      <c r="D1033" s="19">
        <v>46151</v>
      </c>
      <c r="E1033" t="s">
        <v>76</v>
      </c>
      <c r="F1033">
        <f>+_xlfn.ISOWEEKNUM(export?format_csv_gid_612082435[[#This Row],[Fecha]])</f>
        <v>19</v>
      </c>
      <c r="G1033">
        <f>+YEAR(export?format_csv_gid_612082435[[#This Row],[Fecha]])</f>
        <v>2026</v>
      </c>
      <c r="H1033" t="str">
        <f>+VLOOKUP(export?format_csv_gid_612082435[[#This Row],[Valor]],Listas!A:B,2,FALSE)</f>
        <v>Asistencia</v>
      </c>
    </row>
    <row r="1034" spans="1:8" hidden="1" x14ac:dyDescent="0.3">
      <c r="A1034" t="s">
        <v>72</v>
      </c>
      <c r="B1034" t="s">
        <v>98</v>
      </c>
      <c r="C1034" t="s">
        <v>101</v>
      </c>
      <c r="D1034" s="19">
        <v>46152</v>
      </c>
      <c r="E1034" t="s">
        <v>113</v>
      </c>
      <c r="F1034">
        <f>+_xlfn.ISOWEEKNUM(export?format_csv_gid_612082435[[#This Row],[Fecha]])</f>
        <v>19</v>
      </c>
      <c r="G1034">
        <f>+YEAR(export?format_csv_gid_612082435[[#This Row],[Fecha]])</f>
        <v>2026</v>
      </c>
      <c r="H1034" t="str">
        <f>+VLOOKUP(export?format_csv_gid_612082435[[#This Row],[Valor]],Listas!A:B,2,FALSE)</f>
        <v>D. Remunerado</v>
      </c>
    </row>
    <row r="1035" spans="1:8" hidden="1" x14ac:dyDescent="0.3">
      <c r="A1035" t="s">
        <v>72</v>
      </c>
      <c r="B1035" t="s">
        <v>98</v>
      </c>
      <c r="C1035" t="s">
        <v>101</v>
      </c>
      <c r="D1035" s="19">
        <v>46153</v>
      </c>
      <c r="E1035" t="s">
        <v>76</v>
      </c>
      <c r="F1035">
        <f>+_xlfn.ISOWEEKNUM(export?format_csv_gid_612082435[[#This Row],[Fecha]])</f>
        <v>20</v>
      </c>
      <c r="G1035">
        <f>+YEAR(export?format_csv_gid_612082435[[#This Row],[Fecha]])</f>
        <v>2026</v>
      </c>
      <c r="H1035" t="str">
        <f>+VLOOKUP(export?format_csv_gid_612082435[[#This Row],[Valor]],Listas!A:B,2,FALSE)</f>
        <v>Asistencia</v>
      </c>
    </row>
    <row r="1036" spans="1:8" hidden="1" x14ac:dyDescent="0.3">
      <c r="A1036" t="s">
        <v>72</v>
      </c>
      <c r="B1036" t="s">
        <v>98</v>
      </c>
      <c r="C1036" t="s">
        <v>101</v>
      </c>
      <c r="D1036" s="19">
        <v>46154</v>
      </c>
      <c r="E1036" t="s">
        <v>76</v>
      </c>
      <c r="F1036">
        <f>+_xlfn.ISOWEEKNUM(export?format_csv_gid_612082435[[#This Row],[Fecha]])</f>
        <v>20</v>
      </c>
      <c r="G1036">
        <f>+YEAR(export?format_csv_gid_612082435[[#This Row],[Fecha]])</f>
        <v>2026</v>
      </c>
      <c r="H1036" t="str">
        <f>+VLOOKUP(export?format_csv_gid_612082435[[#This Row],[Valor]],Listas!A:B,2,FALSE)</f>
        <v>Asistencia</v>
      </c>
    </row>
    <row r="1037" spans="1:8" hidden="1" x14ac:dyDescent="0.3">
      <c r="A1037" t="s">
        <v>72</v>
      </c>
      <c r="B1037" t="s">
        <v>98</v>
      </c>
      <c r="C1037" t="s">
        <v>101</v>
      </c>
      <c r="D1037" s="19">
        <v>46155</v>
      </c>
      <c r="E1037" t="s">
        <v>76</v>
      </c>
      <c r="F1037">
        <f>+_xlfn.ISOWEEKNUM(export?format_csv_gid_612082435[[#This Row],[Fecha]])</f>
        <v>20</v>
      </c>
      <c r="G1037">
        <f>+YEAR(export?format_csv_gid_612082435[[#This Row],[Fecha]])</f>
        <v>2026</v>
      </c>
      <c r="H1037" t="str">
        <f>+VLOOKUP(export?format_csv_gid_612082435[[#This Row],[Valor]],Listas!A:B,2,FALSE)</f>
        <v>Asistencia</v>
      </c>
    </row>
    <row r="1038" spans="1:8" hidden="1" x14ac:dyDescent="0.3">
      <c r="A1038" t="s">
        <v>72</v>
      </c>
      <c r="B1038" t="s">
        <v>98</v>
      </c>
      <c r="C1038" t="s">
        <v>101</v>
      </c>
      <c r="D1038" s="19">
        <v>46156</v>
      </c>
      <c r="E1038" t="s">
        <v>76</v>
      </c>
      <c r="F1038">
        <f>+_xlfn.ISOWEEKNUM(export?format_csv_gid_612082435[[#This Row],[Fecha]])</f>
        <v>20</v>
      </c>
      <c r="G1038">
        <f>+YEAR(export?format_csv_gid_612082435[[#This Row],[Fecha]])</f>
        <v>2026</v>
      </c>
      <c r="H1038" t="str">
        <f>+VLOOKUP(export?format_csv_gid_612082435[[#This Row],[Valor]],Listas!A:B,2,FALSE)</f>
        <v>Asistencia</v>
      </c>
    </row>
    <row r="1039" spans="1:8" hidden="1" x14ac:dyDescent="0.3">
      <c r="A1039" t="s">
        <v>72</v>
      </c>
      <c r="B1039" t="s">
        <v>98</v>
      </c>
      <c r="C1039" t="s">
        <v>101</v>
      </c>
      <c r="D1039" s="19">
        <v>46157</v>
      </c>
      <c r="E1039" t="s">
        <v>77</v>
      </c>
      <c r="F1039">
        <f>+_xlfn.ISOWEEKNUM(export?format_csv_gid_612082435[[#This Row],[Fecha]])</f>
        <v>20</v>
      </c>
      <c r="G1039">
        <f>+YEAR(export?format_csv_gid_612082435[[#This Row],[Fecha]])</f>
        <v>2026</v>
      </c>
      <c r="H1039" t="e">
        <f>+VLOOKUP(export?format_csv_gid_612082435[[#This Row],[Valor]],Listas!A:B,2,FALSE)</f>
        <v>#N/A</v>
      </c>
    </row>
    <row r="1040" spans="1:8" hidden="1" x14ac:dyDescent="0.3">
      <c r="A1040" t="s">
        <v>72</v>
      </c>
      <c r="B1040" t="s">
        <v>98</v>
      </c>
      <c r="C1040" t="s">
        <v>101</v>
      </c>
      <c r="D1040" s="19">
        <v>46158</v>
      </c>
      <c r="E1040" t="s">
        <v>77</v>
      </c>
      <c r="F1040">
        <f>+_xlfn.ISOWEEKNUM(export?format_csv_gid_612082435[[#This Row],[Fecha]])</f>
        <v>20</v>
      </c>
      <c r="G1040">
        <f>+YEAR(export?format_csv_gid_612082435[[#This Row],[Fecha]])</f>
        <v>2026</v>
      </c>
      <c r="H1040" t="e">
        <f>+VLOOKUP(export?format_csv_gid_612082435[[#This Row],[Valor]],Listas!A:B,2,FALSE)</f>
        <v>#N/A</v>
      </c>
    </row>
    <row r="1041" spans="1:8" hidden="1" x14ac:dyDescent="0.3">
      <c r="A1041" t="s">
        <v>72</v>
      </c>
      <c r="B1041" t="s">
        <v>98</v>
      </c>
      <c r="C1041" t="s">
        <v>101</v>
      </c>
      <c r="D1041" s="19">
        <v>46159</v>
      </c>
      <c r="E1041" t="s">
        <v>77</v>
      </c>
      <c r="F1041">
        <f>+_xlfn.ISOWEEKNUM(export?format_csv_gid_612082435[[#This Row],[Fecha]])</f>
        <v>20</v>
      </c>
      <c r="G1041">
        <f>+YEAR(export?format_csv_gid_612082435[[#This Row],[Fecha]])</f>
        <v>2026</v>
      </c>
      <c r="H1041" t="e">
        <f>+VLOOKUP(export?format_csv_gid_612082435[[#This Row],[Valor]],Listas!A:B,2,FALSE)</f>
        <v>#N/A</v>
      </c>
    </row>
    <row r="1042" spans="1:8" hidden="1" x14ac:dyDescent="0.3">
      <c r="A1042" t="s">
        <v>72</v>
      </c>
      <c r="B1042" t="s">
        <v>98</v>
      </c>
      <c r="C1042" t="s">
        <v>101</v>
      </c>
      <c r="D1042" s="19">
        <v>46160</v>
      </c>
      <c r="E1042" t="s">
        <v>77</v>
      </c>
      <c r="F1042">
        <f>+_xlfn.ISOWEEKNUM(export?format_csv_gid_612082435[[#This Row],[Fecha]])</f>
        <v>21</v>
      </c>
      <c r="G1042">
        <f>+YEAR(export?format_csv_gid_612082435[[#This Row],[Fecha]])</f>
        <v>2026</v>
      </c>
      <c r="H1042" t="e">
        <f>+VLOOKUP(export?format_csv_gid_612082435[[#This Row],[Valor]],Listas!A:B,2,FALSE)</f>
        <v>#N/A</v>
      </c>
    </row>
    <row r="1043" spans="1:8" hidden="1" x14ac:dyDescent="0.3">
      <c r="A1043" t="s">
        <v>72</v>
      </c>
      <c r="B1043" t="s">
        <v>98</v>
      </c>
      <c r="C1043" t="s">
        <v>101</v>
      </c>
      <c r="D1043" s="19">
        <v>46161</v>
      </c>
      <c r="E1043" t="s">
        <v>77</v>
      </c>
      <c r="F1043">
        <f>+_xlfn.ISOWEEKNUM(export?format_csv_gid_612082435[[#This Row],[Fecha]])</f>
        <v>21</v>
      </c>
      <c r="G1043">
        <f>+YEAR(export?format_csv_gid_612082435[[#This Row],[Fecha]])</f>
        <v>2026</v>
      </c>
      <c r="H1043" t="e">
        <f>+VLOOKUP(export?format_csv_gid_612082435[[#This Row],[Valor]],Listas!A:B,2,FALSE)</f>
        <v>#N/A</v>
      </c>
    </row>
    <row r="1044" spans="1:8" hidden="1" x14ac:dyDescent="0.3">
      <c r="A1044" t="s">
        <v>72</v>
      </c>
      <c r="B1044" t="s">
        <v>98</v>
      </c>
      <c r="C1044" t="s">
        <v>101</v>
      </c>
      <c r="D1044" s="19">
        <v>46162</v>
      </c>
      <c r="E1044" t="s">
        <v>77</v>
      </c>
      <c r="F1044">
        <f>+_xlfn.ISOWEEKNUM(export?format_csv_gid_612082435[[#This Row],[Fecha]])</f>
        <v>21</v>
      </c>
      <c r="G1044">
        <f>+YEAR(export?format_csv_gid_612082435[[#This Row],[Fecha]])</f>
        <v>2026</v>
      </c>
      <c r="H1044" t="e">
        <f>+VLOOKUP(export?format_csv_gid_612082435[[#This Row],[Valor]],Listas!A:B,2,FALSE)</f>
        <v>#N/A</v>
      </c>
    </row>
    <row r="1045" spans="1:8" hidden="1" x14ac:dyDescent="0.3">
      <c r="A1045" t="s">
        <v>72</v>
      </c>
      <c r="B1045" t="s">
        <v>98</v>
      </c>
      <c r="C1045" t="s">
        <v>101</v>
      </c>
      <c r="D1045" s="19">
        <v>46163</v>
      </c>
      <c r="E1045" t="s">
        <v>77</v>
      </c>
      <c r="F1045">
        <f>+_xlfn.ISOWEEKNUM(export?format_csv_gid_612082435[[#This Row],[Fecha]])</f>
        <v>21</v>
      </c>
      <c r="G1045">
        <f>+YEAR(export?format_csv_gid_612082435[[#This Row],[Fecha]])</f>
        <v>2026</v>
      </c>
      <c r="H1045" t="e">
        <f>+VLOOKUP(export?format_csv_gid_612082435[[#This Row],[Valor]],Listas!A:B,2,FALSE)</f>
        <v>#N/A</v>
      </c>
    </row>
    <row r="1046" spans="1:8" hidden="1" x14ac:dyDescent="0.3">
      <c r="A1046" t="s">
        <v>72</v>
      </c>
      <c r="B1046" t="s">
        <v>98</v>
      </c>
      <c r="C1046" t="s">
        <v>101</v>
      </c>
      <c r="D1046" s="19">
        <v>46164</v>
      </c>
      <c r="E1046" t="s">
        <v>77</v>
      </c>
      <c r="F1046">
        <f>+_xlfn.ISOWEEKNUM(export?format_csv_gid_612082435[[#This Row],[Fecha]])</f>
        <v>21</v>
      </c>
      <c r="G1046">
        <f>+YEAR(export?format_csv_gid_612082435[[#This Row],[Fecha]])</f>
        <v>2026</v>
      </c>
      <c r="H1046" t="e">
        <f>+VLOOKUP(export?format_csv_gid_612082435[[#This Row],[Valor]],Listas!A:B,2,FALSE)</f>
        <v>#N/A</v>
      </c>
    </row>
    <row r="1047" spans="1:8" hidden="1" x14ac:dyDescent="0.3">
      <c r="A1047" t="s">
        <v>72</v>
      </c>
      <c r="B1047" t="s">
        <v>98</v>
      </c>
      <c r="C1047" t="s">
        <v>101</v>
      </c>
      <c r="D1047" s="19">
        <v>46165</v>
      </c>
      <c r="E1047" t="s">
        <v>77</v>
      </c>
      <c r="F1047">
        <f>+_xlfn.ISOWEEKNUM(export?format_csv_gid_612082435[[#This Row],[Fecha]])</f>
        <v>21</v>
      </c>
      <c r="G1047">
        <f>+YEAR(export?format_csv_gid_612082435[[#This Row],[Fecha]])</f>
        <v>2026</v>
      </c>
      <c r="H1047" t="e">
        <f>+VLOOKUP(export?format_csv_gid_612082435[[#This Row],[Valor]],Listas!A:B,2,FALSE)</f>
        <v>#N/A</v>
      </c>
    </row>
    <row r="1048" spans="1:8" hidden="1" x14ac:dyDescent="0.3">
      <c r="A1048" t="s">
        <v>72</v>
      </c>
      <c r="B1048" t="s">
        <v>98</v>
      </c>
      <c r="C1048" t="s">
        <v>101</v>
      </c>
      <c r="D1048" s="19">
        <v>46166</v>
      </c>
      <c r="E1048" t="s">
        <v>77</v>
      </c>
      <c r="F1048">
        <f>+_xlfn.ISOWEEKNUM(export?format_csv_gid_612082435[[#This Row],[Fecha]])</f>
        <v>21</v>
      </c>
      <c r="G1048">
        <f>+YEAR(export?format_csv_gid_612082435[[#This Row],[Fecha]])</f>
        <v>2026</v>
      </c>
      <c r="H1048" t="e">
        <f>+VLOOKUP(export?format_csv_gid_612082435[[#This Row],[Valor]],Listas!A:B,2,FALSE)</f>
        <v>#N/A</v>
      </c>
    </row>
    <row r="1049" spans="1:8" hidden="1" x14ac:dyDescent="0.3">
      <c r="A1049" t="s">
        <v>72</v>
      </c>
      <c r="B1049" t="s">
        <v>98</v>
      </c>
      <c r="C1049" t="s">
        <v>101</v>
      </c>
      <c r="D1049" s="19">
        <v>46167</v>
      </c>
      <c r="E1049" t="s">
        <v>77</v>
      </c>
      <c r="F1049">
        <f>+_xlfn.ISOWEEKNUM(export?format_csv_gid_612082435[[#This Row],[Fecha]])</f>
        <v>22</v>
      </c>
      <c r="G1049">
        <f>+YEAR(export?format_csv_gid_612082435[[#This Row],[Fecha]])</f>
        <v>2026</v>
      </c>
      <c r="H1049" t="e">
        <f>+VLOOKUP(export?format_csv_gid_612082435[[#This Row],[Valor]],Listas!A:B,2,FALSE)</f>
        <v>#N/A</v>
      </c>
    </row>
    <row r="1050" spans="1:8" hidden="1" x14ac:dyDescent="0.3">
      <c r="A1050" t="s">
        <v>72</v>
      </c>
      <c r="B1050" t="s">
        <v>98</v>
      </c>
      <c r="C1050" t="s">
        <v>101</v>
      </c>
      <c r="D1050" s="19">
        <v>46168</v>
      </c>
      <c r="E1050" t="s">
        <v>77</v>
      </c>
      <c r="F1050">
        <f>+_xlfn.ISOWEEKNUM(export?format_csv_gid_612082435[[#This Row],[Fecha]])</f>
        <v>22</v>
      </c>
      <c r="G1050">
        <f>+YEAR(export?format_csv_gid_612082435[[#This Row],[Fecha]])</f>
        <v>2026</v>
      </c>
      <c r="H1050" t="e">
        <f>+VLOOKUP(export?format_csv_gid_612082435[[#This Row],[Valor]],Listas!A:B,2,FALSE)</f>
        <v>#N/A</v>
      </c>
    </row>
    <row r="1051" spans="1:8" hidden="1" x14ac:dyDescent="0.3">
      <c r="A1051" t="s">
        <v>72</v>
      </c>
      <c r="B1051" t="s">
        <v>98</v>
      </c>
      <c r="C1051" t="s">
        <v>101</v>
      </c>
      <c r="D1051" s="19">
        <v>46169</v>
      </c>
      <c r="E1051" t="s">
        <v>77</v>
      </c>
      <c r="F1051">
        <f>+_xlfn.ISOWEEKNUM(export?format_csv_gid_612082435[[#This Row],[Fecha]])</f>
        <v>22</v>
      </c>
      <c r="G1051">
        <f>+YEAR(export?format_csv_gid_612082435[[#This Row],[Fecha]])</f>
        <v>2026</v>
      </c>
      <c r="H1051" t="e">
        <f>+VLOOKUP(export?format_csv_gid_612082435[[#This Row],[Valor]],Listas!A:B,2,FALSE)</f>
        <v>#N/A</v>
      </c>
    </row>
    <row r="1052" spans="1:8" hidden="1" x14ac:dyDescent="0.3">
      <c r="A1052" t="s">
        <v>72</v>
      </c>
      <c r="B1052" t="s">
        <v>98</v>
      </c>
      <c r="C1052" t="s">
        <v>101</v>
      </c>
      <c r="D1052" s="19">
        <v>46170</v>
      </c>
      <c r="E1052" t="s">
        <v>77</v>
      </c>
      <c r="F1052">
        <f>+_xlfn.ISOWEEKNUM(export?format_csv_gid_612082435[[#This Row],[Fecha]])</f>
        <v>22</v>
      </c>
      <c r="G1052">
        <f>+YEAR(export?format_csv_gid_612082435[[#This Row],[Fecha]])</f>
        <v>2026</v>
      </c>
      <c r="H1052" t="e">
        <f>+VLOOKUP(export?format_csv_gid_612082435[[#This Row],[Valor]],Listas!A:B,2,FALSE)</f>
        <v>#N/A</v>
      </c>
    </row>
    <row r="1053" spans="1:8" hidden="1" x14ac:dyDescent="0.3">
      <c r="A1053" t="s">
        <v>72</v>
      </c>
      <c r="B1053" t="s">
        <v>98</v>
      </c>
      <c r="C1053" t="s">
        <v>101</v>
      </c>
      <c r="D1053" s="19">
        <v>46171</v>
      </c>
      <c r="E1053" t="s">
        <v>77</v>
      </c>
      <c r="F1053">
        <f>+_xlfn.ISOWEEKNUM(export?format_csv_gid_612082435[[#This Row],[Fecha]])</f>
        <v>22</v>
      </c>
      <c r="G1053">
        <f>+YEAR(export?format_csv_gid_612082435[[#This Row],[Fecha]])</f>
        <v>2026</v>
      </c>
      <c r="H1053" t="e">
        <f>+VLOOKUP(export?format_csv_gid_612082435[[#This Row],[Valor]],Listas!A:B,2,FALSE)</f>
        <v>#N/A</v>
      </c>
    </row>
    <row r="1054" spans="1:8" hidden="1" x14ac:dyDescent="0.3">
      <c r="A1054" t="s">
        <v>72</v>
      </c>
      <c r="B1054" t="s">
        <v>98</v>
      </c>
      <c r="C1054" t="s">
        <v>101</v>
      </c>
      <c r="D1054" s="19">
        <v>46172</v>
      </c>
      <c r="E1054" t="s">
        <v>77</v>
      </c>
      <c r="F1054">
        <f>+_xlfn.ISOWEEKNUM(export?format_csv_gid_612082435[[#This Row],[Fecha]])</f>
        <v>22</v>
      </c>
      <c r="G1054">
        <f>+YEAR(export?format_csv_gid_612082435[[#This Row],[Fecha]])</f>
        <v>2026</v>
      </c>
      <c r="H1054" t="e">
        <f>+VLOOKUP(export?format_csv_gid_612082435[[#This Row],[Valor]],Listas!A:B,2,FALSE)</f>
        <v>#N/A</v>
      </c>
    </row>
    <row r="1055" spans="1:8" hidden="1" x14ac:dyDescent="0.3">
      <c r="A1055" t="s">
        <v>72</v>
      </c>
      <c r="B1055" t="s">
        <v>98</v>
      </c>
      <c r="C1055" t="s">
        <v>101</v>
      </c>
      <c r="D1055" s="19">
        <v>46173</v>
      </c>
      <c r="E1055" t="s">
        <v>77</v>
      </c>
      <c r="F1055">
        <f>+_xlfn.ISOWEEKNUM(export?format_csv_gid_612082435[[#This Row],[Fecha]])</f>
        <v>22</v>
      </c>
      <c r="G1055">
        <f>+YEAR(export?format_csv_gid_612082435[[#This Row],[Fecha]])</f>
        <v>2026</v>
      </c>
      <c r="H1055" t="e">
        <f>+VLOOKUP(export?format_csv_gid_612082435[[#This Row],[Valor]],Listas!A:B,2,FALSE)</f>
        <v>#N/A</v>
      </c>
    </row>
    <row r="1056" spans="1:8" hidden="1" x14ac:dyDescent="0.3">
      <c r="A1056" t="s">
        <v>72</v>
      </c>
      <c r="B1056" t="s">
        <v>98</v>
      </c>
      <c r="C1056" t="s">
        <v>158</v>
      </c>
      <c r="D1056" s="19">
        <v>46143</v>
      </c>
      <c r="E1056" t="s">
        <v>75</v>
      </c>
      <c r="F1056">
        <f>+_xlfn.ISOWEEKNUM(export?format_csv_gid_612082435[[#This Row],[Fecha]])</f>
        <v>18</v>
      </c>
      <c r="G1056">
        <f>+YEAR(export?format_csv_gid_612082435[[#This Row],[Fecha]])</f>
        <v>2026</v>
      </c>
      <c r="H1056" t="str">
        <f>+VLOOKUP(export?format_csv_gid_612082435[[#This Row],[Valor]],Listas!A:B,2,FALSE)</f>
        <v>No Remunerado</v>
      </c>
    </row>
    <row r="1057" spans="1:8" hidden="1" x14ac:dyDescent="0.3">
      <c r="A1057" t="s">
        <v>72</v>
      </c>
      <c r="B1057" t="s">
        <v>98</v>
      </c>
      <c r="C1057" t="s">
        <v>158</v>
      </c>
      <c r="D1057" s="19">
        <v>46144</v>
      </c>
      <c r="E1057" t="s">
        <v>75</v>
      </c>
      <c r="F1057">
        <f>+_xlfn.ISOWEEKNUM(export?format_csv_gid_612082435[[#This Row],[Fecha]])</f>
        <v>18</v>
      </c>
      <c r="G1057">
        <f>+YEAR(export?format_csv_gid_612082435[[#This Row],[Fecha]])</f>
        <v>2026</v>
      </c>
      <c r="H1057" t="str">
        <f>+VLOOKUP(export?format_csv_gid_612082435[[#This Row],[Valor]],Listas!A:B,2,FALSE)</f>
        <v>No Remunerado</v>
      </c>
    </row>
    <row r="1058" spans="1:8" hidden="1" x14ac:dyDescent="0.3">
      <c r="A1058" t="s">
        <v>72</v>
      </c>
      <c r="B1058" t="s">
        <v>98</v>
      </c>
      <c r="C1058" t="s">
        <v>158</v>
      </c>
      <c r="D1058" s="19">
        <v>46145</v>
      </c>
      <c r="E1058" t="s">
        <v>75</v>
      </c>
      <c r="F1058">
        <f>+_xlfn.ISOWEEKNUM(export?format_csv_gid_612082435[[#This Row],[Fecha]])</f>
        <v>18</v>
      </c>
      <c r="G1058">
        <f>+YEAR(export?format_csv_gid_612082435[[#This Row],[Fecha]])</f>
        <v>2026</v>
      </c>
      <c r="H1058" t="str">
        <f>+VLOOKUP(export?format_csv_gid_612082435[[#This Row],[Valor]],Listas!A:B,2,FALSE)</f>
        <v>No Remunerado</v>
      </c>
    </row>
    <row r="1059" spans="1:8" hidden="1" x14ac:dyDescent="0.3">
      <c r="A1059" t="s">
        <v>72</v>
      </c>
      <c r="B1059" t="s">
        <v>98</v>
      </c>
      <c r="C1059" t="s">
        <v>158</v>
      </c>
      <c r="D1059" s="19">
        <v>46146</v>
      </c>
      <c r="E1059" t="s">
        <v>76</v>
      </c>
      <c r="F1059">
        <f>+_xlfn.ISOWEEKNUM(export?format_csv_gid_612082435[[#This Row],[Fecha]])</f>
        <v>19</v>
      </c>
      <c r="G1059">
        <f>+YEAR(export?format_csv_gid_612082435[[#This Row],[Fecha]])</f>
        <v>2026</v>
      </c>
      <c r="H1059" t="str">
        <f>+VLOOKUP(export?format_csv_gid_612082435[[#This Row],[Valor]],Listas!A:B,2,FALSE)</f>
        <v>Asistencia</v>
      </c>
    </row>
    <row r="1060" spans="1:8" hidden="1" x14ac:dyDescent="0.3">
      <c r="A1060" t="s">
        <v>72</v>
      </c>
      <c r="B1060" t="s">
        <v>98</v>
      </c>
      <c r="C1060" t="s">
        <v>158</v>
      </c>
      <c r="D1060" s="19">
        <v>46147</v>
      </c>
      <c r="E1060" t="s">
        <v>76</v>
      </c>
      <c r="F1060">
        <f>+_xlfn.ISOWEEKNUM(export?format_csv_gid_612082435[[#This Row],[Fecha]])</f>
        <v>19</v>
      </c>
      <c r="G1060">
        <f>+YEAR(export?format_csv_gid_612082435[[#This Row],[Fecha]])</f>
        <v>2026</v>
      </c>
      <c r="H1060" t="str">
        <f>+VLOOKUP(export?format_csv_gid_612082435[[#This Row],[Valor]],Listas!A:B,2,FALSE)</f>
        <v>Asistencia</v>
      </c>
    </row>
    <row r="1061" spans="1:8" hidden="1" x14ac:dyDescent="0.3">
      <c r="A1061" t="s">
        <v>72</v>
      </c>
      <c r="B1061" t="s">
        <v>98</v>
      </c>
      <c r="C1061" t="s">
        <v>158</v>
      </c>
      <c r="D1061" s="19">
        <v>46148</v>
      </c>
      <c r="E1061" t="s">
        <v>75</v>
      </c>
      <c r="F1061">
        <f>+_xlfn.ISOWEEKNUM(export?format_csv_gid_612082435[[#This Row],[Fecha]])</f>
        <v>19</v>
      </c>
      <c r="G1061">
        <f>+YEAR(export?format_csv_gid_612082435[[#This Row],[Fecha]])</f>
        <v>2026</v>
      </c>
      <c r="H1061" t="str">
        <f>+VLOOKUP(export?format_csv_gid_612082435[[#This Row],[Valor]],Listas!A:B,2,FALSE)</f>
        <v>No Remunerado</v>
      </c>
    </row>
    <row r="1062" spans="1:8" hidden="1" x14ac:dyDescent="0.3">
      <c r="A1062" t="s">
        <v>72</v>
      </c>
      <c r="B1062" t="s">
        <v>98</v>
      </c>
      <c r="C1062" t="s">
        <v>158</v>
      </c>
      <c r="D1062" s="19">
        <v>46149</v>
      </c>
      <c r="E1062" t="s">
        <v>75</v>
      </c>
      <c r="F1062">
        <f>+_xlfn.ISOWEEKNUM(export?format_csv_gid_612082435[[#This Row],[Fecha]])</f>
        <v>19</v>
      </c>
      <c r="G1062">
        <f>+YEAR(export?format_csv_gid_612082435[[#This Row],[Fecha]])</f>
        <v>2026</v>
      </c>
      <c r="H1062" t="str">
        <f>+VLOOKUP(export?format_csv_gid_612082435[[#This Row],[Valor]],Listas!A:B,2,FALSE)</f>
        <v>No Remunerado</v>
      </c>
    </row>
    <row r="1063" spans="1:8" hidden="1" x14ac:dyDescent="0.3">
      <c r="A1063" t="s">
        <v>72</v>
      </c>
      <c r="B1063" t="s">
        <v>98</v>
      </c>
      <c r="C1063" t="s">
        <v>158</v>
      </c>
      <c r="D1063" s="19">
        <v>46150</v>
      </c>
      <c r="E1063" t="s">
        <v>75</v>
      </c>
      <c r="F1063">
        <f>+_xlfn.ISOWEEKNUM(export?format_csv_gid_612082435[[#This Row],[Fecha]])</f>
        <v>19</v>
      </c>
      <c r="G1063">
        <f>+YEAR(export?format_csv_gid_612082435[[#This Row],[Fecha]])</f>
        <v>2026</v>
      </c>
      <c r="H1063" t="str">
        <f>+VLOOKUP(export?format_csv_gid_612082435[[#This Row],[Valor]],Listas!A:B,2,FALSE)</f>
        <v>No Remunerado</v>
      </c>
    </row>
    <row r="1064" spans="1:8" hidden="1" x14ac:dyDescent="0.3">
      <c r="A1064" t="s">
        <v>72</v>
      </c>
      <c r="B1064" t="s">
        <v>98</v>
      </c>
      <c r="C1064" t="s">
        <v>158</v>
      </c>
      <c r="D1064" s="19">
        <v>46151</v>
      </c>
      <c r="E1064" t="s">
        <v>75</v>
      </c>
      <c r="F1064">
        <f>+_xlfn.ISOWEEKNUM(export?format_csv_gid_612082435[[#This Row],[Fecha]])</f>
        <v>19</v>
      </c>
      <c r="G1064">
        <f>+YEAR(export?format_csv_gid_612082435[[#This Row],[Fecha]])</f>
        <v>2026</v>
      </c>
      <c r="H1064" t="str">
        <f>+VLOOKUP(export?format_csv_gid_612082435[[#This Row],[Valor]],Listas!A:B,2,FALSE)</f>
        <v>No Remunerado</v>
      </c>
    </row>
    <row r="1065" spans="1:8" hidden="1" x14ac:dyDescent="0.3">
      <c r="A1065" t="s">
        <v>72</v>
      </c>
      <c r="B1065" t="s">
        <v>98</v>
      </c>
      <c r="C1065" t="s">
        <v>158</v>
      </c>
      <c r="D1065" s="19">
        <v>46152</v>
      </c>
      <c r="E1065" t="s">
        <v>75</v>
      </c>
      <c r="F1065">
        <f>+_xlfn.ISOWEEKNUM(export?format_csv_gid_612082435[[#This Row],[Fecha]])</f>
        <v>19</v>
      </c>
      <c r="G1065">
        <f>+YEAR(export?format_csv_gid_612082435[[#This Row],[Fecha]])</f>
        <v>2026</v>
      </c>
      <c r="H1065" t="str">
        <f>+VLOOKUP(export?format_csv_gid_612082435[[#This Row],[Valor]],Listas!A:B,2,FALSE)</f>
        <v>No Remunerado</v>
      </c>
    </row>
    <row r="1066" spans="1:8" hidden="1" x14ac:dyDescent="0.3">
      <c r="A1066" t="s">
        <v>72</v>
      </c>
      <c r="B1066" t="s">
        <v>98</v>
      </c>
      <c r="C1066" t="s">
        <v>158</v>
      </c>
      <c r="D1066" s="19">
        <v>46153</v>
      </c>
      <c r="E1066" t="s">
        <v>75</v>
      </c>
      <c r="F1066">
        <f>+_xlfn.ISOWEEKNUM(export?format_csv_gid_612082435[[#This Row],[Fecha]])</f>
        <v>20</v>
      </c>
      <c r="G1066">
        <f>+YEAR(export?format_csv_gid_612082435[[#This Row],[Fecha]])</f>
        <v>2026</v>
      </c>
      <c r="H1066" t="str">
        <f>+VLOOKUP(export?format_csv_gid_612082435[[#This Row],[Valor]],Listas!A:B,2,FALSE)</f>
        <v>No Remunerado</v>
      </c>
    </row>
    <row r="1067" spans="1:8" hidden="1" x14ac:dyDescent="0.3">
      <c r="A1067" t="s">
        <v>72</v>
      </c>
      <c r="B1067" t="s">
        <v>98</v>
      </c>
      <c r="C1067" t="s">
        <v>158</v>
      </c>
      <c r="D1067" s="19">
        <v>46154</v>
      </c>
      <c r="E1067" t="s">
        <v>75</v>
      </c>
      <c r="F1067">
        <f>+_xlfn.ISOWEEKNUM(export?format_csv_gid_612082435[[#This Row],[Fecha]])</f>
        <v>20</v>
      </c>
      <c r="G1067">
        <f>+YEAR(export?format_csv_gid_612082435[[#This Row],[Fecha]])</f>
        <v>2026</v>
      </c>
      <c r="H1067" t="str">
        <f>+VLOOKUP(export?format_csv_gid_612082435[[#This Row],[Valor]],Listas!A:B,2,FALSE)</f>
        <v>No Remunerado</v>
      </c>
    </row>
    <row r="1068" spans="1:8" hidden="1" x14ac:dyDescent="0.3">
      <c r="A1068" t="s">
        <v>72</v>
      </c>
      <c r="B1068" t="s">
        <v>98</v>
      </c>
      <c r="C1068" t="s">
        <v>158</v>
      </c>
      <c r="D1068" s="19">
        <v>46155</v>
      </c>
      <c r="E1068" t="s">
        <v>75</v>
      </c>
      <c r="F1068">
        <f>+_xlfn.ISOWEEKNUM(export?format_csv_gid_612082435[[#This Row],[Fecha]])</f>
        <v>20</v>
      </c>
      <c r="G1068">
        <f>+YEAR(export?format_csv_gid_612082435[[#This Row],[Fecha]])</f>
        <v>2026</v>
      </c>
      <c r="H1068" t="str">
        <f>+VLOOKUP(export?format_csv_gid_612082435[[#This Row],[Valor]],Listas!A:B,2,FALSE)</f>
        <v>No Remunerado</v>
      </c>
    </row>
    <row r="1069" spans="1:8" hidden="1" x14ac:dyDescent="0.3">
      <c r="A1069" t="s">
        <v>72</v>
      </c>
      <c r="B1069" t="s">
        <v>98</v>
      </c>
      <c r="C1069" t="s">
        <v>158</v>
      </c>
      <c r="D1069" s="19">
        <v>46156</v>
      </c>
      <c r="E1069" t="s">
        <v>75</v>
      </c>
      <c r="F1069">
        <f>+_xlfn.ISOWEEKNUM(export?format_csv_gid_612082435[[#This Row],[Fecha]])</f>
        <v>20</v>
      </c>
      <c r="G1069">
        <f>+YEAR(export?format_csv_gid_612082435[[#This Row],[Fecha]])</f>
        <v>2026</v>
      </c>
      <c r="H1069" t="str">
        <f>+VLOOKUP(export?format_csv_gid_612082435[[#This Row],[Valor]],Listas!A:B,2,FALSE)</f>
        <v>No Remunerado</v>
      </c>
    </row>
    <row r="1070" spans="1:8" hidden="1" x14ac:dyDescent="0.3">
      <c r="A1070" t="s">
        <v>72</v>
      </c>
      <c r="B1070" t="s">
        <v>98</v>
      </c>
      <c r="C1070" t="s">
        <v>158</v>
      </c>
      <c r="D1070" s="19">
        <v>46157</v>
      </c>
      <c r="E1070" t="s">
        <v>75</v>
      </c>
      <c r="F1070">
        <f>+_xlfn.ISOWEEKNUM(export?format_csv_gid_612082435[[#This Row],[Fecha]])</f>
        <v>20</v>
      </c>
      <c r="G1070">
        <f>+YEAR(export?format_csv_gid_612082435[[#This Row],[Fecha]])</f>
        <v>2026</v>
      </c>
      <c r="H1070" t="str">
        <f>+VLOOKUP(export?format_csv_gid_612082435[[#This Row],[Valor]],Listas!A:B,2,FALSE)</f>
        <v>No Remunerado</v>
      </c>
    </row>
    <row r="1071" spans="1:8" hidden="1" x14ac:dyDescent="0.3">
      <c r="A1071" t="s">
        <v>72</v>
      </c>
      <c r="B1071" t="s">
        <v>98</v>
      </c>
      <c r="C1071" t="s">
        <v>158</v>
      </c>
      <c r="D1071" s="19">
        <v>46158</v>
      </c>
      <c r="E1071" t="s">
        <v>77</v>
      </c>
      <c r="F1071">
        <f>+_xlfn.ISOWEEKNUM(export?format_csv_gid_612082435[[#This Row],[Fecha]])</f>
        <v>20</v>
      </c>
      <c r="G1071">
        <f>+YEAR(export?format_csv_gid_612082435[[#This Row],[Fecha]])</f>
        <v>2026</v>
      </c>
      <c r="H1071" t="e">
        <f>+VLOOKUP(export?format_csv_gid_612082435[[#This Row],[Valor]],Listas!A:B,2,FALSE)</f>
        <v>#N/A</v>
      </c>
    </row>
    <row r="1072" spans="1:8" hidden="1" x14ac:dyDescent="0.3">
      <c r="A1072" t="s">
        <v>72</v>
      </c>
      <c r="B1072" t="s">
        <v>98</v>
      </c>
      <c r="C1072" t="s">
        <v>158</v>
      </c>
      <c r="D1072" s="19">
        <v>46159</v>
      </c>
      <c r="E1072" t="s">
        <v>77</v>
      </c>
      <c r="F1072">
        <f>+_xlfn.ISOWEEKNUM(export?format_csv_gid_612082435[[#This Row],[Fecha]])</f>
        <v>20</v>
      </c>
      <c r="G1072">
        <f>+YEAR(export?format_csv_gid_612082435[[#This Row],[Fecha]])</f>
        <v>2026</v>
      </c>
      <c r="H1072" t="e">
        <f>+VLOOKUP(export?format_csv_gid_612082435[[#This Row],[Valor]],Listas!A:B,2,FALSE)</f>
        <v>#N/A</v>
      </c>
    </row>
    <row r="1073" spans="1:8" hidden="1" x14ac:dyDescent="0.3">
      <c r="A1073" t="s">
        <v>72</v>
      </c>
      <c r="B1073" t="s">
        <v>98</v>
      </c>
      <c r="C1073" t="s">
        <v>158</v>
      </c>
      <c r="D1073" s="19">
        <v>46160</v>
      </c>
      <c r="E1073" t="s">
        <v>77</v>
      </c>
      <c r="F1073">
        <f>+_xlfn.ISOWEEKNUM(export?format_csv_gid_612082435[[#This Row],[Fecha]])</f>
        <v>21</v>
      </c>
      <c r="G1073">
        <f>+YEAR(export?format_csv_gid_612082435[[#This Row],[Fecha]])</f>
        <v>2026</v>
      </c>
      <c r="H1073" t="e">
        <f>+VLOOKUP(export?format_csv_gid_612082435[[#This Row],[Valor]],Listas!A:B,2,FALSE)</f>
        <v>#N/A</v>
      </c>
    </row>
    <row r="1074" spans="1:8" hidden="1" x14ac:dyDescent="0.3">
      <c r="A1074" t="s">
        <v>72</v>
      </c>
      <c r="B1074" t="s">
        <v>98</v>
      </c>
      <c r="C1074" t="s">
        <v>158</v>
      </c>
      <c r="D1074" s="19">
        <v>46161</v>
      </c>
      <c r="E1074" t="s">
        <v>77</v>
      </c>
      <c r="F1074">
        <f>+_xlfn.ISOWEEKNUM(export?format_csv_gid_612082435[[#This Row],[Fecha]])</f>
        <v>21</v>
      </c>
      <c r="G1074">
        <f>+YEAR(export?format_csv_gid_612082435[[#This Row],[Fecha]])</f>
        <v>2026</v>
      </c>
      <c r="H1074" t="e">
        <f>+VLOOKUP(export?format_csv_gid_612082435[[#This Row],[Valor]],Listas!A:B,2,FALSE)</f>
        <v>#N/A</v>
      </c>
    </row>
    <row r="1075" spans="1:8" hidden="1" x14ac:dyDescent="0.3">
      <c r="A1075" t="s">
        <v>72</v>
      </c>
      <c r="B1075" t="s">
        <v>98</v>
      </c>
      <c r="C1075" t="s">
        <v>158</v>
      </c>
      <c r="D1075" s="19">
        <v>46162</v>
      </c>
      <c r="E1075" t="s">
        <v>77</v>
      </c>
      <c r="F1075">
        <f>+_xlfn.ISOWEEKNUM(export?format_csv_gid_612082435[[#This Row],[Fecha]])</f>
        <v>21</v>
      </c>
      <c r="G1075">
        <f>+YEAR(export?format_csv_gid_612082435[[#This Row],[Fecha]])</f>
        <v>2026</v>
      </c>
      <c r="H1075" t="e">
        <f>+VLOOKUP(export?format_csv_gid_612082435[[#This Row],[Valor]],Listas!A:B,2,FALSE)</f>
        <v>#N/A</v>
      </c>
    </row>
    <row r="1076" spans="1:8" hidden="1" x14ac:dyDescent="0.3">
      <c r="A1076" t="s">
        <v>72</v>
      </c>
      <c r="B1076" t="s">
        <v>98</v>
      </c>
      <c r="C1076" t="s">
        <v>158</v>
      </c>
      <c r="D1076" s="19">
        <v>46163</v>
      </c>
      <c r="E1076" t="s">
        <v>77</v>
      </c>
      <c r="F1076">
        <f>+_xlfn.ISOWEEKNUM(export?format_csv_gid_612082435[[#This Row],[Fecha]])</f>
        <v>21</v>
      </c>
      <c r="G1076">
        <f>+YEAR(export?format_csv_gid_612082435[[#This Row],[Fecha]])</f>
        <v>2026</v>
      </c>
      <c r="H1076" t="e">
        <f>+VLOOKUP(export?format_csv_gid_612082435[[#This Row],[Valor]],Listas!A:B,2,FALSE)</f>
        <v>#N/A</v>
      </c>
    </row>
    <row r="1077" spans="1:8" hidden="1" x14ac:dyDescent="0.3">
      <c r="A1077" t="s">
        <v>72</v>
      </c>
      <c r="B1077" t="s">
        <v>98</v>
      </c>
      <c r="C1077" t="s">
        <v>158</v>
      </c>
      <c r="D1077" s="19">
        <v>46164</v>
      </c>
      <c r="E1077" t="s">
        <v>77</v>
      </c>
      <c r="F1077">
        <f>+_xlfn.ISOWEEKNUM(export?format_csv_gid_612082435[[#This Row],[Fecha]])</f>
        <v>21</v>
      </c>
      <c r="G1077">
        <f>+YEAR(export?format_csv_gid_612082435[[#This Row],[Fecha]])</f>
        <v>2026</v>
      </c>
      <c r="H1077" t="e">
        <f>+VLOOKUP(export?format_csv_gid_612082435[[#This Row],[Valor]],Listas!A:B,2,FALSE)</f>
        <v>#N/A</v>
      </c>
    </row>
    <row r="1078" spans="1:8" hidden="1" x14ac:dyDescent="0.3">
      <c r="A1078" t="s">
        <v>72</v>
      </c>
      <c r="B1078" t="s">
        <v>98</v>
      </c>
      <c r="C1078" t="s">
        <v>158</v>
      </c>
      <c r="D1078" s="19">
        <v>46165</v>
      </c>
      <c r="E1078" t="s">
        <v>77</v>
      </c>
      <c r="F1078">
        <f>+_xlfn.ISOWEEKNUM(export?format_csv_gid_612082435[[#This Row],[Fecha]])</f>
        <v>21</v>
      </c>
      <c r="G1078">
        <f>+YEAR(export?format_csv_gid_612082435[[#This Row],[Fecha]])</f>
        <v>2026</v>
      </c>
      <c r="H1078" t="e">
        <f>+VLOOKUP(export?format_csv_gid_612082435[[#This Row],[Valor]],Listas!A:B,2,FALSE)</f>
        <v>#N/A</v>
      </c>
    </row>
    <row r="1079" spans="1:8" hidden="1" x14ac:dyDescent="0.3">
      <c r="A1079" t="s">
        <v>72</v>
      </c>
      <c r="B1079" t="s">
        <v>98</v>
      </c>
      <c r="C1079" t="s">
        <v>158</v>
      </c>
      <c r="D1079" s="19">
        <v>46166</v>
      </c>
      <c r="E1079" t="s">
        <v>77</v>
      </c>
      <c r="F1079">
        <f>+_xlfn.ISOWEEKNUM(export?format_csv_gid_612082435[[#This Row],[Fecha]])</f>
        <v>21</v>
      </c>
      <c r="G1079">
        <f>+YEAR(export?format_csv_gid_612082435[[#This Row],[Fecha]])</f>
        <v>2026</v>
      </c>
      <c r="H1079" t="e">
        <f>+VLOOKUP(export?format_csv_gid_612082435[[#This Row],[Valor]],Listas!A:B,2,FALSE)</f>
        <v>#N/A</v>
      </c>
    </row>
    <row r="1080" spans="1:8" hidden="1" x14ac:dyDescent="0.3">
      <c r="A1080" t="s">
        <v>72</v>
      </c>
      <c r="B1080" t="s">
        <v>98</v>
      </c>
      <c r="C1080" t="s">
        <v>158</v>
      </c>
      <c r="D1080" s="19">
        <v>46167</v>
      </c>
      <c r="E1080" t="s">
        <v>77</v>
      </c>
      <c r="F1080">
        <f>+_xlfn.ISOWEEKNUM(export?format_csv_gid_612082435[[#This Row],[Fecha]])</f>
        <v>22</v>
      </c>
      <c r="G1080">
        <f>+YEAR(export?format_csv_gid_612082435[[#This Row],[Fecha]])</f>
        <v>2026</v>
      </c>
      <c r="H1080" t="e">
        <f>+VLOOKUP(export?format_csv_gid_612082435[[#This Row],[Valor]],Listas!A:B,2,FALSE)</f>
        <v>#N/A</v>
      </c>
    </row>
    <row r="1081" spans="1:8" hidden="1" x14ac:dyDescent="0.3">
      <c r="A1081" t="s">
        <v>72</v>
      </c>
      <c r="B1081" t="s">
        <v>98</v>
      </c>
      <c r="C1081" t="s">
        <v>158</v>
      </c>
      <c r="D1081" s="19">
        <v>46168</v>
      </c>
      <c r="E1081" t="s">
        <v>77</v>
      </c>
      <c r="F1081">
        <f>+_xlfn.ISOWEEKNUM(export?format_csv_gid_612082435[[#This Row],[Fecha]])</f>
        <v>22</v>
      </c>
      <c r="G1081">
        <f>+YEAR(export?format_csv_gid_612082435[[#This Row],[Fecha]])</f>
        <v>2026</v>
      </c>
      <c r="H1081" t="e">
        <f>+VLOOKUP(export?format_csv_gid_612082435[[#This Row],[Valor]],Listas!A:B,2,FALSE)</f>
        <v>#N/A</v>
      </c>
    </row>
    <row r="1082" spans="1:8" hidden="1" x14ac:dyDescent="0.3">
      <c r="A1082" t="s">
        <v>72</v>
      </c>
      <c r="B1082" t="s">
        <v>98</v>
      </c>
      <c r="C1082" t="s">
        <v>158</v>
      </c>
      <c r="D1082" s="19">
        <v>46169</v>
      </c>
      <c r="E1082" t="s">
        <v>77</v>
      </c>
      <c r="F1082">
        <f>+_xlfn.ISOWEEKNUM(export?format_csv_gid_612082435[[#This Row],[Fecha]])</f>
        <v>22</v>
      </c>
      <c r="G1082">
        <f>+YEAR(export?format_csv_gid_612082435[[#This Row],[Fecha]])</f>
        <v>2026</v>
      </c>
      <c r="H1082" t="e">
        <f>+VLOOKUP(export?format_csv_gid_612082435[[#This Row],[Valor]],Listas!A:B,2,FALSE)</f>
        <v>#N/A</v>
      </c>
    </row>
    <row r="1083" spans="1:8" hidden="1" x14ac:dyDescent="0.3">
      <c r="A1083" t="s">
        <v>72</v>
      </c>
      <c r="B1083" t="s">
        <v>98</v>
      </c>
      <c r="C1083" t="s">
        <v>158</v>
      </c>
      <c r="D1083" s="19">
        <v>46170</v>
      </c>
      <c r="E1083" t="s">
        <v>77</v>
      </c>
      <c r="F1083">
        <f>+_xlfn.ISOWEEKNUM(export?format_csv_gid_612082435[[#This Row],[Fecha]])</f>
        <v>22</v>
      </c>
      <c r="G1083">
        <f>+YEAR(export?format_csv_gid_612082435[[#This Row],[Fecha]])</f>
        <v>2026</v>
      </c>
      <c r="H1083" t="e">
        <f>+VLOOKUP(export?format_csv_gid_612082435[[#This Row],[Valor]],Listas!A:B,2,FALSE)</f>
        <v>#N/A</v>
      </c>
    </row>
    <row r="1084" spans="1:8" hidden="1" x14ac:dyDescent="0.3">
      <c r="A1084" t="s">
        <v>72</v>
      </c>
      <c r="B1084" t="s">
        <v>98</v>
      </c>
      <c r="C1084" t="s">
        <v>158</v>
      </c>
      <c r="D1084" s="19">
        <v>46171</v>
      </c>
      <c r="E1084" t="s">
        <v>77</v>
      </c>
      <c r="F1084">
        <f>+_xlfn.ISOWEEKNUM(export?format_csv_gid_612082435[[#This Row],[Fecha]])</f>
        <v>22</v>
      </c>
      <c r="G1084">
        <f>+YEAR(export?format_csv_gid_612082435[[#This Row],[Fecha]])</f>
        <v>2026</v>
      </c>
      <c r="H1084" t="e">
        <f>+VLOOKUP(export?format_csv_gid_612082435[[#This Row],[Valor]],Listas!A:B,2,FALSE)</f>
        <v>#N/A</v>
      </c>
    </row>
    <row r="1085" spans="1:8" hidden="1" x14ac:dyDescent="0.3">
      <c r="A1085" t="s">
        <v>72</v>
      </c>
      <c r="B1085" t="s">
        <v>98</v>
      </c>
      <c r="C1085" t="s">
        <v>158</v>
      </c>
      <c r="D1085" s="19">
        <v>46172</v>
      </c>
      <c r="E1085" t="s">
        <v>77</v>
      </c>
      <c r="F1085">
        <f>+_xlfn.ISOWEEKNUM(export?format_csv_gid_612082435[[#This Row],[Fecha]])</f>
        <v>22</v>
      </c>
      <c r="G1085">
        <f>+YEAR(export?format_csv_gid_612082435[[#This Row],[Fecha]])</f>
        <v>2026</v>
      </c>
      <c r="H1085" t="e">
        <f>+VLOOKUP(export?format_csv_gid_612082435[[#This Row],[Valor]],Listas!A:B,2,FALSE)</f>
        <v>#N/A</v>
      </c>
    </row>
    <row r="1086" spans="1:8" hidden="1" x14ac:dyDescent="0.3">
      <c r="A1086" t="s">
        <v>72</v>
      </c>
      <c r="B1086" t="s">
        <v>98</v>
      </c>
      <c r="C1086" t="s">
        <v>158</v>
      </c>
      <c r="D1086" s="19">
        <v>46173</v>
      </c>
      <c r="E1086" t="s">
        <v>77</v>
      </c>
      <c r="F1086">
        <f>+_xlfn.ISOWEEKNUM(export?format_csv_gid_612082435[[#This Row],[Fecha]])</f>
        <v>22</v>
      </c>
      <c r="G1086">
        <f>+YEAR(export?format_csv_gid_612082435[[#This Row],[Fecha]])</f>
        <v>2026</v>
      </c>
      <c r="H1086" t="e">
        <f>+VLOOKUP(export?format_csv_gid_612082435[[#This Row],[Valor]],Listas!A:B,2,FALSE)</f>
        <v>#N/A</v>
      </c>
    </row>
    <row r="1087" spans="1:8" hidden="1" x14ac:dyDescent="0.3">
      <c r="A1087" t="s">
        <v>83</v>
      </c>
      <c r="B1087" t="s">
        <v>98</v>
      </c>
      <c r="C1087" t="s">
        <v>102</v>
      </c>
      <c r="D1087" s="19">
        <v>46143</v>
      </c>
      <c r="E1087" t="s">
        <v>85</v>
      </c>
      <c r="F1087">
        <f>+_xlfn.ISOWEEKNUM(export?format_csv_gid_612082435[[#This Row],[Fecha]])</f>
        <v>18</v>
      </c>
      <c r="G1087">
        <f>+YEAR(export?format_csv_gid_612082435[[#This Row],[Fecha]])</f>
        <v>2026</v>
      </c>
      <c r="H1087" t="e">
        <f>+VLOOKUP(export?format_csv_gid_612082435[[#This Row],[Valor]],Listas!A:B,2,FALSE)</f>
        <v>#N/A</v>
      </c>
    </row>
    <row r="1088" spans="1:8" hidden="1" x14ac:dyDescent="0.3">
      <c r="A1088" t="s">
        <v>83</v>
      </c>
      <c r="B1088" t="s">
        <v>98</v>
      </c>
      <c r="C1088" t="s">
        <v>102</v>
      </c>
      <c r="D1088" s="19">
        <v>46144</v>
      </c>
      <c r="E1088" t="s">
        <v>85</v>
      </c>
      <c r="F1088">
        <f>+_xlfn.ISOWEEKNUM(export?format_csv_gid_612082435[[#This Row],[Fecha]])</f>
        <v>18</v>
      </c>
      <c r="G1088">
        <f>+YEAR(export?format_csv_gid_612082435[[#This Row],[Fecha]])</f>
        <v>2026</v>
      </c>
      <c r="H1088" t="e">
        <f>+VLOOKUP(export?format_csv_gid_612082435[[#This Row],[Valor]],Listas!A:B,2,FALSE)</f>
        <v>#N/A</v>
      </c>
    </row>
    <row r="1089" spans="1:8" hidden="1" x14ac:dyDescent="0.3">
      <c r="A1089" t="s">
        <v>83</v>
      </c>
      <c r="B1089" t="s">
        <v>98</v>
      </c>
      <c r="C1089" t="s">
        <v>102</v>
      </c>
      <c r="D1089" s="19">
        <v>46145</v>
      </c>
      <c r="E1089" t="s">
        <v>85</v>
      </c>
      <c r="F1089">
        <f>+_xlfn.ISOWEEKNUM(export?format_csv_gid_612082435[[#This Row],[Fecha]])</f>
        <v>18</v>
      </c>
      <c r="G1089">
        <f>+YEAR(export?format_csv_gid_612082435[[#This Row],[Fecha]])</f>
        <v>2026</v>
      </c>
      <c r="H1089" t="e">
        <f>+VLOOKUP(export?format_csv_gid_612082435[[#This Row],[Valor]],Listas!A:B,2,FALSE)</f>
        <v>#N/A</v>
      </c>
    </row>
    <row r="1090" spans="1:8" hidden="1" x14ac:dyDescent="0.3">
      <c r="A1090" t="s">
        <v>83</v>
      </c>
      <c r="B1090" t="s">
        <v>98</v>
      </c>
      <c r="C1090" t="s">
        <v>102</v>
      </c>
      <c r="D1090" s="19">
        <v>46146</v>
      </c>
      <c r="E1090" t="s">
        <v>85</v>
      </c>
      <c r="F1090">
        <f>+_xlfn.ISOWEEKNUM(export?format_csv_gid_612082435[[#This Row],[Fecha]])</f>
        <v>19</v>
      </c>
      <c r="G1090">
        <f>+YEAR(export?format_csv_gid_612082435[[#This Row],[Fecha]])</f>
        <v>2026</v>
      </c>
      <c r="H1090" t="e">
        <f>+VLOOKUP(export?format_csv_gid_612082435[[#This Row],[Valor]],Listas!A:B,2,FALSE)</f>
        <v>#N/A</v>
      </c>
    </row>
    <row r="1091" spans="1:8" hidden="1" x14ac:dyDescent="0.3">
      <c r="A1091" t="s">
        <v>83</v>
      </c>
      <c r="B1091" t="s">
        <v>98</v>
      </c>
      <c r="C1091" t="s">
        <v>102</v>
      </c>
      <c r="D1091" s="19">
        <v>46147</v>
      </c>
      <c r="E1091" t="s">
        <v>85</v>
      </c>
      <c r="F1091">
        <f>+_xlfn.ISOWEEKNUM(export?format_csv_gid_612082435[[#This Row],[Fecha]])</f>
        <v>19</v>
      </c>
      <c r="G1091">
        <f>+YEAR(export?format_csv_gid_612082435[[#This Row],[Fecha]])</f>
        <v>2026</v>
      </c>
      <c r="H1091" t="e">
        <f>+VLOOKUP(export?format_csv_gid_612082435[[#This Row],[Valor]],Listas!A:B,2,FALSE)</f>
        <v>#N/A</v>
      </c>
    </row>
    <row r="1092" spans="1:8" hidden="1" x14ac:dyDescent="0.3">
      <c r="A1092" t="s">
        <v>83</v>
      </c>
      <c r="B1092" t="s">
        <v>98</v>
      </c>
      <c r="C1092" t="s">
        <v>102</v>
      </c>
      <c r="D1092" s="19">
        <v>46148</v>
      </c>
      <c r="E1092" t="s">
        <v>85</v>
      </c>
      <c r="F1092">
        <f>+_xlfn.ISOWEEKNUM(export?format_csv_gid_612082435[[#This Row],[Fecha]])</f>
        <v>19</v>
      </c>
      <c r="G1092">
        <f>+YEAR(export?format_csv_gid_612082435[[#This Row],[Fecha]])</f>
        <v>2026</v>
      </c>
      <c r="H1092" t="e">
        <f>+VLOOKUP(export?format_csv_gid_612082435[[#This Row],[Valor]],Listas!A:B,2,FALSE)</f>
        <v>#N/A</v>
      </c>
    </row>
    <row r="1093" spans="1:8" hidden="1" x14ac:dyDescent="0.3">
      <c r="A1093" t="s">
        <v>83</v>
      </c>
      <c r="B1093" t="s">
        <v>98</v>
      </c>
      <c r="C1093" t="s">
        <v>102</v>
      </c>
      <c r="D1093" s="19">
        <v>46149</v>
      </c>
      <c r="E1093" t="s">
        <v>85</v>
      </c>
      <c r="F1093">
        <f>+_xlfn.ISOWEEKNUM(export?format_csv_gid_612082435[[#This Row],[Fecha]])</f>
        <v>19</v>
      </c>
      <c r="G1093">
        <f>+YEAR(export?format_csv_gid_612082435[[#This Row],[Fecha]])</f>
        <v>2026</v>
      </c>
      <c r="H1093" t="e">
        <f>+VLOOKUP(export?format_csv_gid_612082435[[#This Row],[Valor]],Listas!A:B,2,FALSE)</f>
        <v>#N/A</v>
      </c>
    </row>
    <row r="1094" spans="1:8" hidden="1" x14ac:dyDescent="0.3">
      <c r="A1094" t="s">
        <v>83</v>
      </c>
      <c r="B1094" t="s">
        <v>98</v>
      </c>
      <c r="C1094" t="s">
        <v>102</v>
      </c>
      <c r="D1094" s="19">
        <v>46150</v>
      </c>
      <c r="E1094" t="s">
        <v>85</v>
      </c>
      <c r="F1094">
        <f>+_xlfn.ISOWEEKNUM(export?format_csv_gid_612082435[[#This Row],[Fecha]])</f>
        <v>19</v>
      </c>
      <c r="G1094">
        <f>+YEAR(export?format_csv_gid_612082435[[#This Row],[Fecha]])</f>
        <v>2026</v>
      </c>
      <c r="H1094" t="e">
        <f>+VLOOKUP(export?format_csv_gid_612082435[[#This Row],[Valor]],Listas!A:B,2,FALSE)</f>
        <v>#N/A</v>
      </c>
    </row>
    <row r="1095" spans="1:8" hidden="1" x14ac:dyDescent="0.3">
      <c r="A1095" t="s">
        <v>83</v>
      </c>
      <c r="B1095" t="s">
        <v>98</v>
      </c>
      <c r="C1095" t="s">
        <v>102</v>
      </c>
      <c r="D1095" s="19">
        <v>46151</v>
      </c>
      <c r="E1095" t="s">
        <v>85</v>
      </c>
      <c r="F1095">
        <f>+_xlfn.ISOWEEKNUM(export?format_csv_gid_612082435[[#This Row],[Fecha]])</f>
        <v>19</v>
      </c>
      <c r="G1095">
        <f>+YEAR(export?format_csv_gid_612082435[[#This Row],[Fecha]])</f>
        <v>2026</v>
      </c>
      <c r="H1095" t="e">
        <f>+VLOOKUP(export?format_csv_gid_612082435[[#This Row],[Valor]],Listas!A:B,2,FALSE)</f>
        <v>#N/A</v>
      </c>
    </row>
    <row r="1096" spans="1:8" hidden="1" x14ac:dyDescent="0.3">
      <c r="A1096" t="s">
        <v>83</v>
      </c>
      <c r="B1096" t="s">
        <v>98</v>
      </c>
      <c r="C1096" t="s">
        <v>102</v>
      </c>
      <c r="D1096" s="19">
        <v>46152</v>
      </c>
      <c r="E1096" t="s">
        <v>85</v>
      </c>
      <c r="F1096">
        <f>+_xlfn.ISOWEEKNUM(export?format_csv_gid_612082435[[#This Row],[Fecha]])</f>
        <v>19</v>
      </c>
      <c r="G1096">
        <f>+YEAR(export?format_csv_gid_612082435[[#This Row],[Fecha]])</f>
        <v>2026</v>
      </c>
      <c r="H1096" t="e">
        <f>+VLOOKUP(export?format_csv_gid_612082435[[#This Row],[Valor]],Listas!A:B,2,FALSE)</f>
        <v>#N/A</v>
      </c>
    </row>
    <row r="1097" spans="1:8" hidden="1" x14ac:dyDescent="0.3">
      <c r="A1097" t="s">
        <v>83</v>
      </c>
      <c r="B1097" t="s">
        <v>98</v>
      </c>
      <c r="C1097" t="s">
        <v>102</v>
      </c>
      <c r="D1097" s="19">
        <v>46153</v>
      </c>
      <c r="E1097" t="s">
        <v>85</v>
      </c>
      <c r="F1097">
        <f>+_xlfn.ISOWEEKNUM(export?format_csv_gid_612082435[[#This Row],[Fecha]])</f>
        <v>20</v>
      </c>
      <c r="G1097">
        <f>+YEAR(export?format_csv_gid_612082435[[#This Row],[Fecha]])</f>
        <v>2026</v>
      </c>
      <c r="H1097" t="e">
        <f>+VLOOKUP(export?format_csv_gid_612082435[[#This Row],[Valor]],Listas!A:B,2,FALSE)</f>
        <v>#N/A</v>
      </c>
    </row>
    <row r="1098" spans="1:8" hidden="1" x14ac:dyDescent="0.3">
      <c r="A1098" t="s">
        <v>83</v>
      </c>
      <c r="B1098" t="s">
        <v>98</v>
      </c>
      <c r="C1098" t="s">
        <v>102</v>
      </c>
      <c r="D1098" s="19">
        <v>46154</v>
      </c>
      <c r="E1098" t="s">
        <v>85</v>
      </c>
      <c r="F1098">
        <f>+_xlfn.ISOWEEKNUM(export?format_csv_gid_612082435[[#This Row],[Fecha]])</f>
        <v>20</v>
      </c>
      <c r="G1098">
        <f>+YEAR(export?format_csv_gid_612082435[[#This Row],[Fecha]])</f>
        <v>2026</v>
      </c>
      <c r="H1098" t="e">
        <f>+VLOOKUP(export?format_csv_gid_612082435[[#This Row],[Valor]],Listas!A:B,2,FALSE)</f>
        <v>#N/A</v>
      </c>
    </row>
    <row r="1099" spans="1:8" hidden="1" x14ac:dyDescent="0.3">
      <c r="A1099" t="s">
        <v>83</v>
      </c>
      <c r="B1099" t="s">
        <v>98</v>
      </c>
      <c r="C1099" t="s">
        <v>102</v>
      </c>
      <c r="D1099" s="19">
        <v>46155</v>
      </c>
      <c r="E1099" t="s">
        <v>77</v>
      </c>
      <c r="F1099">
        <f>+_xlfn.ISOWEEKNUM(export?format_csv_gid_612082435[[#This Row],[Fecha]])</f>
        <v>20</v>
      </c>
      <c r="G1099">
        <f>+YEAR(export?format_csv_gid_612082435[[#This Row],[Fecha]])</f>
        <v>2026</v>
      </c>
      <c r="H1099" t="e">
        <f>+VLOOKUP(export?format_csv_gid_612082435[[#This Row],[Valor]],Listas!A:B,2,FALSE)</f>
        <v>#N/A</v>
      </c>
    </row>
    <row r="1100" spans="1:8" hidden="1" x14ac:dyDescent="0.3">
      <c r="A1100" t="s">
        <v>83</v>
      </c>
      <c r="B1100" t="s">
        <v>98</v>
      </c>
      <c r="C1100" t="s">
        <v>102</v>
      </c>
      <c r="D1100" s="19">
        <v>46156</v>
      </c>
      <c r="E1100" t="s">
        <v>77</v>
      </c>
      <c r="F1100">
        <f>+_xlfn.ISOWEEKNUM(export?format_csv_gid_612082435[[#This Row],[Fecha]])</f>
        <v>20</v>
      </c>
      <c r="G1100">
        <f>+YEAR(export?format_csv_gid_612082435[[#This Row],[Fecha]])</f>
        <v>2026</v>
      </c>
      <c r="H1100" t="e">
        <f>+VLOOKUP(export?format_csv_gid_612082435[[#This Row],[Valor]],Listas!A:B,2,FALSE)</f>
        <v>#N/A</v>
      </c>
    </row>
    <row r="1101" spans="1:8" hidden="1" x14ac:dyDescent="0.3">
      <c r="A1101" t="s">
        <v>83</v>
      </c>
      <c r="B1101" t="s">
        <v>98</v>
      </c>
      <c r="C1101" t="s">
        <v>102</v>
      </c>
      <c r="D1101" s="19">
        <v>46157</v>
      </c>
      <c r="E1101" t="s">
        <v>77</v>
      </c>
      <c r="F1101">
        <f>+_xlfn.ISOWEEKNUM(export?format_csv_gid_612082435[[#This Row],[Fecha]])</f>
        <v>20</v>
      </c>
      <c r="G1101">
        <f>+YEAR(export?format_csv_gid_612082435[[#This Row],[Fecha]])</f>
        <v>2026</v>
      </c>
      <c r="H1101" t="e">
        <f>+VLOOKUP(export?format_csv_gid_612082435[[#This Row],[Valor]],Listas!A:B,2,FALSE)</f>
        <v>#N/A</v>
      </c>
    </row>
    <row r="1102" spans="1:8" hidden="1" x14ac:dyDescent="0.3">
      <c r="A1102" t="s">
        <v>83</v>
      </c>
      <c r="B1102" t="s">
        <v>98</v>
      </c>
      <c r="C1102" t="s">
        <v>102</v>
      </c>
      <c r="D1102" s="19">
        <v>46158</v>
      </c>
      <c r="E1102" t="s">
        <v>77</v>
      </c>
      <c r="F1102">
        <f>+_xlfn.ISOWEEKNUM(export?format_csv_gid_612082435[[#This Row],[Fecha]])</f>
        <v>20</v>
      </c>
      <c r="G1102">
        <f>+YEAR(export?format_csv_gid_612082435[[#This Row],[Fecha]])</f>
        <v>2026</v>
      </c>
      <c r="H1102" t="e">
        <f>+VLOOKUP(export?format_csv_gid_612082435[[#This Row],[Valor]],Listas!A:B,2,FALSE)</f>
        <v>#N/A</v>
      </c>
    </row>
    <row r="1103" spans="1:8" hidden="1" x14ac:dyDescent="0.3">
      <c r="A1103" t="s">
        <v>83</v>
      </c>
      <c r="B1103" t="s">
        <v>98</v>
      </c>
      <c r="C1103" t="s">
        <v>102</v>
      </c>
      <c r="D1103" s="19">
        <v>46159</v>
      </c>
      <c r="E1103" t="s">
        <v>77</v>
      </c>
      <c r="F1103">
        <f>+_xlfn.ISOWEEKNUM(export?format_csv_gid_612082435[[#This Row],[Fecha]])</f>
        <v>20</v>
      </c>
      <c r="G1103">
        <f>+YEAR(export?format_csv_gid_612082435[[#This Row],[Fecha]])</f>
        <v>2026</v>
      </c>
      <c r="H1103" t="e">
        <f>+VLOOKUP(export?format_csv_gid_612082435[[#This Row],[Valor]],Listas!A:B,2,FALSE)</f>
        <v>#N/A</v>
      </c>
    </row>
    <row r="1104" spans="1:8" hidden="1" x14ac:dyDescent="0.3">
      <c r="A1104" t="s">
        <v>83</v>
      </c>
      <c r="B1104" t="s">
        <v>98</v>
      </c>
      <c r="C1104" t="s">
        <v>102</v>
      </c>
      <c r="D1104" s="19">
        <v>46160</v>
      </c>
      <c r="E1104" t="s">
        <v>77</v>
      </c>
      <c r="F1104">
        <f>+_xlfn.ISOWEEKNUM(export?format_csv_gid_612082435[[#This Row],[Fecha]])</f>
        <v>21</v>
      </c>
      <c r="G1104">
        <f>+YEAR(export?format_csv_gid_612082435[[#This Row],[Fecha]])</f>
        <v>2026</v>
      </c>
      <c r="H1104" t="e">
        <f>+VLOOKUP(export?format_csv_gid_612082435[[#This Row],[Valor]],Listas!A:B,2,FALSE)</f>
        <v>#N/A</v>
      </c>
    </row>
    <row r="1105" spans="1:8" hidden="1" x14ac:dyDescent="0.3">
      <c r="A1105" t="s">
        <v>83</v>
      </c>
      <c r="B1105" t="s">
        <v>98</v>
      </c>
      <c r="C1105" t="s">
        <v>102</v>
      </c>
      <c r="D1105" s="19">
        <v>46161</v>
      </c>
      <c r="E1105" t="s">
        <v>77</v>
      </c>
      <c r="F1105">
        <f>+_xlfn.ISOWEEKNUM(export?format_csv_gid_612082435[[#This Row],[Fecha]])</f>
        <v>21</v>
      </c>
      <c r="G1105">
        <f>+YEAR(export?format_csv_gid_612082435[[#This Row],[Fecha]])</f>
        <v>2026</v>
      </c>
      <c r="H1105" t="e">
        <f>+VLOOKUP(export?format_csv_gid_612082435[[#This Row],[Valor]],Listas!A:B,2,FALSE)</f>
        <v>#N/A</v>
      </c>
    </row>
    <row r="1106" spans="1:8" hidden="1" x14ac:dyDescent="0.3">
      <c r="A1106" t="s">
        <v>83</v>
      </c>
      <c r="B1106" t="s">
        <v>98</v>
      </c>
      <c r="C1106" t="s">
        <v>102</v>
      </c>
      <c r="D1106" s="19">
        <v>46162</v>
      </c>
      <c r="E1106" t="s">
        <v>77</v>
      </c>
      <c r="F1106">
        <f>+_xlfn.ISOWEEKNUM(export?format_csv_gid_612082435[[#This Row],[Fecha]])</f>
        <v>21</v>
      </c>
      <c r="G1106">
        <f>+YEAR(export?format_csv_gid_612082435[[#This Row],[Fecha]])</f>
        <v>2026</v>
      </c>
      <c r="H1106" t="e">
        <f>+VLOOKUP(export?format_csv_gid_612082435[[#This Row],[Valor]],Listas!A:B,2,FALSE)</f>
        <v>#N/A</v>
      </c>
    </row>
    <row r="1107" spans="1:8" hidden="1" x14ac:dyDescent="0.3">
      <c r="A1107" t="s">
        <v>83</v>
      </c>
      <c r="B1107" t="s">
        <v>98</v>
      </c>
      <c r="C1107" t="s">
        <v>102</v>
      </c>
      <c r="D1107" s="19">
        <v>46163</v>
      </c>
      <c r="E1107" t="s">
        <v>77</v>
      </c>
      <c r="F1107">
        <f>+_xlfn.ISOWEEKNUM(export?format_csv_gid_612082435[[#This Row],[Fecha]])</f>
        <v>21</v>
      </c>
      <c r="G1107">
        <f>+YEAR(export?format_csv_gid_612082435[[#This Row],[Fecha]])</f>
        <v>2026</v>
      </c>
      <c r="H1107" t="e">
        <f>+VLOOKUP(export?format_csv_gid_612082435[[#This Row],[Valor]],Listas!A:B,2,FALSE)</f>
        <v>#N/A</v>
      </c>
    </row>
    <row r="1108" spans="1:8" hidden="1" x14ac:dyDescent="0.3">
      <c r="A1108" t="s">
        <v>83</v>
      </c>
      <c r="B1108" t="s">
        <v>98</v>
      </c>
      <c r="C1108" t="s">
        <v>102</v>
      </c>
      <c r="D1108" s="19">
        <v>46164</v>
      </c>
      <c r="E1108" t="s">
        <v>77</v>
      </c>
      <c r="F1108">
        <f>+_xlfn.ISOWEEKNUM(export?format_csv_gid_612082435[[#This Row],[Fecha]])</f>
        <v>21</v>
      </c>
      <c r="G1108">
        <f>+YEAR(export?format_csv_gid_612082435[[#This Row],[Fecha]])</f>
        <v>2026</v>
      </c>
      <c r="H1108" t="e">
        <f>+VLOOKUP(export?format_csv_gid_612082435[[#This Row],[Valor]],Listas!A:B,2,FALSE)</f>
        <v>#N/A</v>
      </c>
    </row>
    <row r="1109" spans="1:8" hidden="1" x14ac:dyDescent="0.3">
      <c r="A1109" t="s">
        <v>83</v>
      </c>
      <c r="B1109" t="s">
        <v>98</v>
      </c>
      <c r="C1109" t="s">
        <v>102</v>
      </c>
      <c r="D1109" s="19">
        <v>46165</v>
      </c>
      <c r="E1109" t="s">
        <v>77</v>
      </c>
      <c r="F1109">
        <f>+_xlfn.ISOWEEKNUM(export?format_csv_gid_612082435[[#This Row],[Fecha]])</f>
        <v>21</v>
      </c>
      <c r="G1109">
        <f>+YEAR(export?format_csv_gid_612082435[[#This Row],[Fecha]])</f>
        <v>2026</v>
      </c>
      <c r="H1109" t="e">
        <f>+VLOOKUP(export?format_csv_gid_612082435[[#This Row],[Valor]],Listas!A:B,2,FALSE)</f>
        <v>#N/A</v>
      </c>
    </row>
    <row r="1110" spans="1:8" hidden="1" x14ac:dyDescent="0.3">
      <c r="A1110" t="s">
        <v>83</v>
      </c>
      <c r="B1110" t="s">
        <v>98</v>
      </c>
      <c r="C1110" t="s">
        <v>102</v>
      </c>
      <c r="D1110" s="19">
        <v>46166</v>
      </c>
      <c r="E1110" t="s">
        <v>77</v>
      </c>
      <c r="F1110">
        <f>+_xlfn.ISOWEEKNUM(export?format_csv_gid_612082435[[#This Row],[Fecha]])</f>
        <v>21</v>
      </c>
      <c r="G1110">
        <f>+YEAR(export?format_csv_gid_612082435[[#This Row],[Fecha]])</f>
        <v>2026</v>
      </c>
      <c r="H1110" t="e">
        <f>+VLOOKUP(export?format_csv_gid_612082435[[#This Row],[Valor]],Listas!A:B,2,FALSE)</f>
        <v>#N/A</v>
      </c>
    </row>
    <row r="1111" spans="1:8" hidden="1" x14ac:dyDescent="0.3">
      <c r="A1111" t="s">
        <v>83</v>
      </c>
      <c r="B1111" t="s">
        <v>98</v>
      </c>
      <c r="C1111" t="s">
        <v>102</v>
      </c>
      <c r="D1111" s="19">
        <v>46167</v>
      </c>
      <c r="E1111" t="s">
        <v>77</v>
      </c>
      <c r="F1111">
        <f>+_xlfn.ISOWEEKNUM(export?format_csv_gid_612082435[[#This Row],[Fecha]])</f>
        <v>22</v>
      </c>
      <c r="G1111">
        <f>+YEAR(export?format_csv_gid_612082435[[#This Row],[Fecha]])</f>
        <v>2026</v>
      </c>
      <c r="H1111" t="e">
        <f>+VLOOKUP(export?format_csv_gid_612082435[[#This Row],[Valor]],Listas!A:B,2,FALSE)</f>
        <v>#N/A</v>
      </c>
    </row>
    <row r="1112" spans="1:8" hidden="1" x14ac:dyDescent="0.3">
      <c r="A1112" t="s">
        <v>83</v>
      </c>
      <c r="B1112" t="s">
        <v>98</v>
      </c>
      <c r="C1112" t="s">
        <v>102</v>
      </c>
      <c r="D1112" s="19">
        <v>46168</v>
      </c>
      <c r="E1112" t="s">
        <v>77</v>
      </c>
      <c r="F1112">
        <f>+_xlfn.ISOWEEKNUM(export?format_csv_gid_612082435[[#This Row],[Fecha]])</f>
        <v>22</v>
      </c>
      <c r="G1112">
        <f>+YEAR(export?format_csv_gid_612082435[[#This Row],[Fecha]])</f>
        <v>2026</v>
      </c>
      <c r="H1112" t="e">
        <f>+VLOOKUP(export?format_csv_gid_612082435[[#This Row],[Valor]],Listas!A:B,2,FALSE)</f>
        <v>#N/A</v>
      </c>
    </row>
    <row r="1113" spans="1:8" hidden="1" x14ac:dyDescent="0.3">
      <c r="A1113" t="s">
        <v>83</v>
      </c>
      <c r="B1113" t="s">
        <v>98</v>
      </c>
      <c r="C1113" t="s">
        <v>102</v>
      </c>
      <c r="D1113" s="19">
        <v>46169</v>
      </c>
      <c r="E1113" t="s">
        <v>77</v>
      </c>
      <c r="F1113">
        <f>+_xlfn.ISOWEEKNUM(export?format_csv_gid_612082435[[#This Row],[Fecha]])</f>
        <v>22</v>
      </c>
      <c r="G1113">
        <f>+YEAR(export?format_csv_gid_612082435[[#This Row],[Fecha]])</f>
        <v>2026</v>
      </c>
      <c r="H1113" t="e">
        <f>+VLOOKUP(export?format_csv_gid_612082435[[#This Row],[Valor]],Listas!A:B,2,FALSE)</f>
        <v>#N/A</v>
      </c>
    </row>
    <row r="1114" spans="1:8" hidden="1" x14ac:dyDescent="0.3">
      <c r="A1114" t="s">
        <v>83</v>
      </c>
      <c r="B1114" t="s">
        <v>98</v>
      </c>
      <c r="C1114" t="s">
        <v>102</v>
      </c>
      <c r="D1114" s="19">
        <v>46170</v>
      </c>
      <c r="E1114" t="s">
        <v>77</v>
      </c>
      <c r="F1114">
        <f>+_xlfn.ISOWEEKNUM(export?format_csv_gid_612082435[[#This Row],[Fecha]])</f>
        <v>22</v>
      </c>
      <c r="G1114">
        <f>+YEAR(export?format_csv_gid_612082435[[#This Row],[Fecha]])</f>
        <v>2026</v>
      </c>
      <c r="H1114" t="e">
        <f>+VLOOKUP(export?format_csv_gid_612082435[[#This Row],[Valor]],Listas!A:B,2,FALSE)</f>
        <v>#N/A</v>
      </c>
    </row>
    <row r="1115" spans="1:8" hidden="1" x14ac:dyDescent="0.3">
      <c r="A1115" t="s">
        <v>83</v>
      </c>
      <c r="B1115" t="s">
        <v>98</v>
      </c>
      <c r="C1115" t="s">
        <v>102</v>
      </c>
      <c r="D1115" s="19">
        <v>46171</v>
      </c>
      <c r="E1115" t="s">
        <v>77</v>
      </c>
      <c r="F1115">
        <f>+_xlfn.ISOWEEKNUM(export?format_csv_gid_612082435[[#This Row],[Fecha]])</f>
        <v>22</v>
      </c>
      <c r="G1115">
        <f>+YEAR(export?format_csv_gid_612082435[[#This Row],[Fecha]])</f>
        <v>2026</v>
      </c>
      <c r="H1115" t="e">
        <f>+VLOOKUP(export?format_csv_gid_612082435[[#This Row],[Valor]],Listas!A:B,2,FALSE)</f>
        <v>#N/A</v>
      </c>
    </row>
    <row r="1116" spans="1:8" hidden="1" x14ac:dyDescent="0.3">
      <c r="A1116" t="s">
        <v>83</v>
      </c>
      <c r="B1116" t="s">
        <v>98</v>
      </c>
      <c r="C1116" t="s">
        <v>102</v>
      </c>
      <c r="D1116" s="19">
        <v>46172</v>
      </c>
      <c r="E1116" t="s">
        <v>77</v>
      </c>
      <c r="F1116">
        <f>+_xlfn.ISOWEEKNUM(export?format_csv_gid_612082435[[#This Row],[Fecha]])</f>
        <v>22</v>
      </c>
      <c r="G1116">
        <f>+YEAR(export?format_csv_gid_612082435[[#This Row],[Fecha]])</f>
        <v>2026</v>
      </c>
      <c r="H1116" t="e">
        <f>+VLOOKUP(export?format_csv_gid_612082435[[#This Row],[Valor]],Listas!A:B,2,FALSE)</f>
        <v>#N/A</v>
      </c>
    </row>
    <row r="1117" spans="1:8" hidden="1" x14ac:dyDescent="0.3">
      <c r="A1117" t="s">
        <v>83</v>
      </c>
      <c r="B1117" t="s">
        <v>98</v>
      </c>
      <c r="C1117" t="s">
        <v>102</v>
      </c>
      <c r="D1117" s="19">
        <v>46173</v>
      </c>
      <c r="E1117" t="s">
        <v>77</v>
      </c>
      <c r="F1117">
        <f>+_xlfn.ISOWEEKNUM(export?format_csv_gid_612082435[[#This Row],[Fecha]])</f>
        <v>22</v>
      </c>
      <c r="G1117">
        <f>+YEAR(export?format_csv_gid_612082435[[#This Row],[Fecha]])</f>
        <v>2026</v>
      </c>
      <c r="H1117" t="e">
        <f>+VLOOKUP(export?format_csv_gid_612082435[[#This Row],[Valor]],Listas!A:B,2,FALSE)</f>
        <v>#N/A</v>
      </c>
    </row>
    <row r="1118" spans="1:8" hidden="1" x14ac:dyDescent="0.3">
      <c r="A1118" t="s">
        <v>83</v>
      </c>
      <c r="B1118" t="s">
        <v>98</v>
      </c>
      <c r="C1118" t="s">
        <v>103</v>
      </c>
      <c r="D1118" s="19">
        <v>46143</v>
      </c>
      <c r="E1118" t="s">
        <v>85</v>
      </c>
      <c r="F1118">
        <f>+_xlfn.ISOWEEKNUM(export?format_csv_gid_612082435[[#This Row],[Fecha]])</f>
        <v>18</v>
      </c>
      <c r="G1118">
        <f>+YEAR(export?format_csv_gid_612082435[[#This Row],[Fecha]])</f>
        <v>2026</v>
      </c>
      <c r="H1118" t="e">
        <f>+VLOOKUP(export?format_csv_gid_612082435[[#This Row],[Valor]],Listas!A:B,2,FALSE)</f>
        <v>#N/A</v>
      </c>
    </row>
    <row r="1119" spans="1:8" hidden="1" x14ac:dyDescent="0.3">
      <c r="A1119" t="s">
        <v>83</v>
      </c>
      <c r="B1119" t="s">
        <v>98</v>
      </c>
      <c r="C1119" t="s">
        <v>103</v>
      </c>
      <c r="D1119" s="19">
        <v>46144</v>
      </c>
      <c r="E1119" t="s">
        <v>85</v>
      </c>
      <c r="F1119">
        <f>+_xlfn.ISOWEEKNUM(export?format_csv_gid_612082435[[#This Row],[Fecha]])</f>
        <v>18</v>
      </c>
      <c r="G1119">
        <f>+YEAR(export?format_csv_gid_612082435[[#This Row],[Fecha]])</f>
        <v>2026</v>
      </c>
      <c r="H1119" t="e">
        <f>+VLOOKUP(export?format_csv_gid_612082435[[#This Row],[Valor]],Listas!A:B,2,FALSE)</f>
        <v>#N/A</v>
      </c>
    </row>
    <row r="1120" spans="1:8" hidden="1" x14ac:dyDescent="0.3">
      <c r="A1120" t="s">
        <v>83</v>
      </c>
      <c r="B1120" t="s">
        <v>98</v>
      </c>
      <c r="C1120" t="s">
        <v>103</v>
      </c>
      <c r="D1120" s="19">
        <v>46145</v>
      </c>
      <c r="E1120" t="s">
        <v>85</v>
      </c>
      <c r="F1120">
        <f>+_xlfn.ISOWEEKNUM(export?format_csv_gid_612082435[[#This Row],[Fecha]])</f>
        <v>18</v>
      </c>
      <c r="G1120">
        <f>+YEAR(export?format_csv_gid_612082435[[#This Row],[Fecha]])</f>
        <v>2026</v>
      </c>
      <c r="H1120" t="e">
        <f>+VLOOKUP(export?format_csv_gid_612082435[[#This Row],[Valor]],Listas!A:B,2,FALSE)</f>
        <v>#N/A</v>
      </c>
    </row>
    <row r="1121" spans="1:8" hidden="1" x14ac:dyDescent="0.3">
      <c r="A1121" t="s">
        <v>83</v>
      </c>
      <c r="B1121" t="s">
        <v>98</v>
      </c>
      <c r="C1121" t="s">
        <v>103</v>
      </c>
      <c r="D1121" s="19">
        <v>46146</v>
      </c>
      <c r="E1121" t="s">
        <v>85</v>
      </c>
      <c r="F1121">
        <f>+_xlfn.ISOWEEKNUM(export?format_csv_gid_612082435[[#This Row],[Fecha]])</f>
        <v>19</v>
      </c>
      <c r="G1121">
        <f>+YEAR(export?format_csv_gid_612082435[[#This Row],[Fecha]])</f>
        <v>2026</v>
      </c>
      <c r="H1121" t="e">
        <f>+VLOOKUP(export?format_csv_gid_612082435[[#This Row],[Valor]],Listas!A:B,2,FALSE)</f>
        <v>#N/A</v>
      </c>
    </row>
    <row r="1122" spans="1:8" hidden="1" x14ac:dyDescent="0.3">
      <c r="A1122" t="s">
        <v>83</v>
      </c>
      <c r="B1122" t="s">
        <v>98</v>
      </c>
      <c r="C1122" t="s">
        <v>103</v>
      </c>
      <c r="D1122" s="19">
        <v>46147</v>
      </c>
      <c r="E1122" t="s">
        <v>85</v>
      </c>
      <c r="F1122">
        <f>+_xlfn.ISOWEEKNUM(export?format_csv_gid_612082435[[#This Row],[Fecha]])</f>
        <v>19</v>
      </c>
      <c r="G1122">
        <f>+YEAR(export?format_csv_gid_612082435[[#This Row],[Fecha]])</f>
        <v>2026</v>
      </c>
      <c r="H1122" t="e">
        <f>+VLOOKUP(export?format_csv_gid_612082435[[#This Row],[Valor]],Listas!A:B,2,FALSE)</f>
        <v>#N/A</v>
      </c>
    </row>
    <row r="1123" spans="1:8" hidden="1" x14ac:dyDescent="0.3">
      <c r="A1123" t="s">
        <v>83</v>
      </c>
      <c r="B1123" t="s">
        <v>98</v>
      </c>
      <c r="C1123" t="s">
        <v>103</v>
      </c>
      <c r="D1123" s="19">
        <v>46148</v>
      </c>
      <c r="E1123" t="s">
        <v>85</v>
      </c>
      <c r="F1123">
        <f>+_xlfn.ISOWEEKNUM(export?format_csv_gid_612082435[[#This Row],[Fecha]])</f>
        <v>19</v>
      </c>
      <c r="G1123">
        <f>+YEAR(export?format_csv_gid_612082435[[#This Row],[Fecha]])</f>
        <v>2026</v>
      </c>
      <c r="H1123" t="e">
        <f>+VLOOKUP(export?format_csv_gid_612082435[[#This Row],[Valor]],Listas!A:B,2,FALSE)</f>
        <v>#N/A</v>
      </c>
    </row>
    <row r="1124" spans="1:8" hidden="1" x14ac:dyDescent="0.3">
      <c r="A1124" t="s">
        <v>83</v>
      </c>
      <c r="B1124" t="s">
        <v>98</v>
      </c>
      <c r="C1124" t="s">
        <v>103</v>
      </c>
      <c r="D1124" s="19">
        <v>46149</v>
      </c>
      <c r="E1124" t="s">
        <v>85</v>
      </c>
      <c r="F1124">
        <f>+_xlfn.ISOWEEKNUM(export?format_csv_gid_612082435[[#This Row],[Fecha]])</f>
        <v>19</v>
      </c>
      <c r="G1124">
        <f>+YEAR(export?format_csv_gid_612082435[[#This Row],[Fecha]])</f>
        <v>2026</v>
      </c>
      <c r="H1124" t="e">
        <f>+VLOOKUP(export?format_csv_gid_612082435[[#This Row],[Valor]],Listas!A:B,2,FALSE)</f>
        <v>#N/A</v>
      </c>
    </row>
    <row r="1125" spans="1:8" hidden="1" x14ac:dyDescent="0.3">
      <c r="A1125" t="s">
        <v>83</v>
      </c>
      <c r="B1125" t="s">
        <v>98</v>
      </c>
      <c r="C1125" t="s">
        <v>103</v>
      </c>
      <c r="D1125" s="19">
        <v>46150</v>
      </c>
      <c r="E1125" t="s">
        <v>85</v>
      </c>
      <c r="F1125">
        <f>+_xlfn.ISOWEEKNUM(export?format_csv_gid_612082435[[#This Row],[Fecha]])</f>
        <v>19</v>
      </c>
      <c r="G1125">
        <f>+YEAR(export?format_csv_gid_612082435[[#This Row],[Fecha]])</f>
        <v>2026</v>
      </c>
      <c r="H1125" t="e">
        <f>+VLOOKUP(export?format_csv_gid_612082435[[#This Row],[Valor]],Listas!A:B,2,FALSE)</f>
        <v>#N/A</v>
      </c>
    </row>
    <row r="1126" spans="1:8" hidden="1" x14ac:dyDescent="0.3">
      <c r="A1126" t="s">
        <v>83</v>
      </c>
      <c r="B1126" t="s">
        <v>98</v>
      </c>
      <c r="C1126" t="s">
        <v>103</v>
      </c>
      <c r="D1126" s="19">
        <v>46151</v>
      </c>
      <c r="E1126" t="s">
        <v>85</v>
      </c>
      <c r="F1126">
        <f>+_xlfn.ISOWEEKNUM(export?format_csv_gid_612082435[[#This Row],[Fecha]])</f>
        <v>19</v>
      </c>
      <c r="G1126">
        <f>+YEAR(export?format_csv_gid_612082435[[#This Row],[Fecha]])</f>
        <v>2026</v>
      </c>
      <c r="H1126" t="e">
        <f>+VLOOKUP(export?format_csv_gid_612082435[[#This Row],[Valor]],Listas!A:B,2,FALSE)</f>
        <v>#N/A</v>
      </c>
    </row>
    <row r="1127" spans="1:8" hidden="1" x14ac:dyDescent="0.3">
      <c r="A1127" t="s">
        <v>83</v>
      </c>
      <c r="B1127" t="s">
        <v>98</v>
      </c>
      <c r="C1127" t="s">
        <v>103</v>
      </c>
      <c r="D1127" s="19">
        <v>46152</v>
      </c>
      <c r="E1127" t="s">
        <v>85</v>
      </c>
      <c r="F1127">
        <f>+_xlfn.ISOWEEKNUM(export?format_csv_gid_612082435[[#This Row],[Fecha]])</f>
        <v>19</v>
      </c>
      <c r="G1127">
        <f>+YEAR(export?format_csv_gid_612082435[[#This Row],[Fecha]])</f>
        <v>2026</v>
      </c>
      <c r="H1127" t="e">
        <f>+VLOOKUP(export?format_csv_gid_612082435[[#This Row],[Valor]],Listas!A:B,2,FALSE)</f>
        <v>#N/A</v>
      </c>
    </row>
    <row r="1128" spans="1:8" hidden="1" x14ac:dyDescent="0.3">
      <c r="A1128" t="s">
        <v>83</v>
      </c>
      <c r="B1128" t="s">
        <v>98</v>
      </c>
      <c r="C1128" t="s">
        <v>103</v>
      </c>
      <c r="D1128" s="19">
        <v>46153</v>
      </c>
      <c r="E1128" t="s">
        <v>85</v>
      </c>
      <c r="F1128">
        <f>+_xlfn.ISOWEEKNUM(export?format_csv_gid_612082435[[#This Row],[Fecha]])</f>
        <v>20</v>
      </c>
      <c r="G1128">
        <f>+YEAR(export?format_csv_gid_612082435[[#This Row],[Fecha]])</f>
        <v>2026</v>
      </c>
      <c r="H1128" t="e">
        <f>+VLOOKUP(export?format_csv_gid_612082435[[#This Row],[Valor]],Listas!A:B,2,FALSE)</f>
        <v>#N/A</v>
      </c>
    </row>
    <row r="1129" spans="1:8" hidden="1" x14ac:dyDescent="0.3">
      <c r="A1129" t="s">
        <v>83</v>
      </c>
      <c r="B1129" t="s">
        <v>98</v>
      </c>
      <c r="C1129" t="s">
        <v>103</v>
      </c>
      <c r="D1129" s="19">
        <v>46154</v>
      </c>
      <c r="E1129" t="s">
        <v>85</v>
      </c>
      <c r="F1129">
        <f>+_xlfn.ISOWEEKNUM(export?format_csv_gid_612082435[[#This Row],[Fecha]])</f>
        <v>20</v>
      </c>
      <c r="G1129">
        <f>+YEAR(export?format_csv_gid_612082435[[#This Row],[Fecha]])</f>
        <v>2026</v>
      </c>
      <c r="H1129" t="e">
        <f>+VLOOKUP(export?format_csv_gid_612082435[[#This Row],[Valor]],Listas!A:B,2,FALSE)</f>
        <v>#N/A</v>
      </c>
    </row>
    <row r="1130" spans="1:8" hidden="1" x14ac:dyDescent="0.3">
      <c r="A1130" t="s">
        <v>83</v>
      </c>
      <c r="B1130" t="s">
        <v>98</v>
      </c>
      <c r="C1130" t="s">
        <v>103</v>
      </c>
      <c r="D1130" s="19">
        <v>46155</v>
      </c>
      <c r="E1130" t="s">
        <v>77</v>
      </c>
      <c r="F1130">
        <f>+_xlfn.ISOWEEKNUM(export?format_csv_gid_612082435[[#This Row],[Fecha]])</f>
        <v>20</v>
      </c>
      <c r="G1130">
        <f>+YEAR(export?format_csv_gid_612082435[[#This Row],[Fecha]])</f>
        <v>2026</v>
      </c>
      <c r="H1130" t="e">
        <f>+VLOOKUP(export?format_csv_gid_612082435[[#This Row],[Valor]],Listas!A:B,2,FALSE)</f>
        <v>#N/A</v>
      </c>
    </row>
    <row r="1131" spans="1:8" hidden="1" x14ac:dyDescent="0.3">
      <c r="A1131" t="s">
        <v>83</v>
      </c>
      <c r="B1131" t="s">
        <v>98</v>
      </c>
      <c r="C1131" t="s">
        <v>103</v>
      </c>
      <c r="D1131" s="19">
        <v>46156</v>
      </c>
      <c r="E1131" t="s">
        <v>77</v>
      </c>
      <c r="F1131">
        <f>+_xlfn.ISOWEEKNUM(export?format_csv_gid_612082435[[#This Row],[Fecha]])</f>
        <v>20</v>
      </c>
      <c r="G1131">
        <f>+YEAR(export?format_csv_gid_612082435[[#This Row],[Fecha]])</f>
        <v>2026</v>
      </c>
      <c r="H1131" t="e">
        <f>+VLOOKUP(export?format_csv_gid_612082435[[#This Row],[Valor]],Listas!A:B,2,FALSE)</f>
        <v>#N/A</v>
      </c>
    </row>
    <row r="1132" spans="1:8" hidden="1" x14ac:dyDescent="0.3">
      <c r="A1132" t="s">
        <v>83</v>
      </c>
      <c r="B1132" t="s">
        <v>98</v>
      </c>
      <c r="C1132" t="s">
        <v>103</v>
      </c>
      <c r="D1132" s="19">
        <v>46157</v>
      </c>
      <c r="E1132" t="s">
        <v>77</v>
      </c>
      <c r="F1132">
        <f>+_xlfn.ISOWEEKNUM(export?format_csv_gid_612082435[[#This Row],[Fecha]])</f>
        <v>20</v>
      </c>
      <c r="G1132">
        <f>+YEAR(export?format_csv_gid_612082435[[#This Row],[Fecha]])</f>
        <v>2026</v>
      </c>
      <c r="H1132" t="e">
        <f>+VLOOKUP(export?format_csv_gid_612082435[[#This Row],[Valor]],Listas!A:B,2,FALSE)</f>
        <v>#N/A</v>
      </c>
    </row>
    <row r="1133" spans="1:8" hidden="1" x14ac:dyDescent="0.3">
      <c r="A1133" t="s">
        <v>83</v>
      </c>
      <c r="B1133" t="s">
        <v>98</v>
      </c>
      <c r="C1133" t="s">
        <v>103</v>
      </c>
      <c r="D1133" s="19">
        <v>46158</v>
      </c>
      <c r="E1133" t="s">
        <v>77</v>
      </c>
      <c r="F1133">
        <f>+_xlfn.ISOWEEKNUM(export?format_csv_gid_612082435[[#This Row],[Fecha]])</f>
        <v>20</v>
      </c>
      <c r="G1133">
        <f>+YEAR(export?format_csv_gid_612082435[[#This Row],[Fecha]])</f>
        <v>2026</v>
      </c>
      <c r="H1133" t="e">
        <f>+VLOOKUP(export?format_csv_gid_612082435[[#This Row],[Valor]],Listas!A:B,2,FALSE)</f>
        <v>#N/A</v>
      </c>
    </row>
    <row r="1134" spans="1:8" hidden="1" x14ac:dyDescent="0.3">
      <c r="A1134" t="s">
        <v>83</v>
      </c>
      <c r="B1134" t="s">
        <v>98</v>
      </c>
      <c r="C1134" t="s">
        <v>103</v>
      </c>
      <c r="D1134" s="19">
        <v>46159</v>
      </c>
      <c r="E1134" t="s">
        <v>77</v>
      </c>
      <c r="F1134">
        <f>+_xlfn.ISOWEEKNUM(export?format_csv_gid_612082435[[#This Row],[Fecha]])</f>
        <v>20</v>
      </c>
      <c r="G1134">
        <f>+YEAR(export?format_csv_gid_612082435[[#This Row],[Fecha]])</f>
        <v>2026</v>
      </c>
      <c r="H1134" t="e">
        <f>+VLOOKUP(export?format_csv_gid_612082435[[#This Row],[Valor]],Listas!A:B,2,FALSE)</f>
        <v>#N/A</v>
      </c>
    </row>
    <row r="1135" spans="1:8" hidden="1" x14ac:dyDescent="0.3">
      <c r="A1135" t="s">
        <v>83</v>
      </c>
      <c r="B1135" t="s">
        <v>98</v>
      </c>
      <c r="C1135" t="s">
        <v>103</v>
      </c>
      <c r="D1135" s="19">
        <v>46160</v>
      </c>
      <c r="E1135" t="s">
        <v>77</v>
      </c>
      <c r="F1135">
        <f>+_xlfn.ISOWEEKNUM(export?format_csv_gid_612082435[[#This Row],[Fecha]])</f>
        <v>21</v>
      </c>
      <c r="G1135">
        <f>+YEAR(export?format_csv_gid_612082435[[#This Row],[Fecha]])</f>
        <v>2026</v>
      </c>
      <c r="H1135" t="e">
        <f>+VLOOKUP(export?format_csv_gid_612082435[[#This Row],[Valor]],Listas!A:B,2,FALSE)</f>
        <v>#N/A</v>
      </c>
    </row>
    <row r="1136" spans="1:8" hidden="1" x14ac:dyDescent="0.3">
      <c r="A1136" t="s">
        <v>83</v>
      </c>
      <c r="B1136" t="s">
        <v>98</v>
      </c>
      <c r="C1136" t="s">
        <v>103</v>
      </c>
      <c r="D1136" s="19">
        <v>46161</v>
      </c>
      <c r="E1136" t="s">
        <v>77</v>
      </c>
      <c r="F1136">
        <f>+_xlfn.ISOWEEKNUM(export?format_csv_gid_612082435[[#This Row],[Fecha]])</f>
        <v>21</v>
      </c>
      <c r="G1136">
        <f>+YEAR(export?format_csv_gid_612082435[[#This Row],[Fecha]])</f>
        <v>2026</v>
      </c>
      <c r="H1136" t="e">
        <f>+VLOOKUP(export?format_csv_gid_612082435[[#This Row],[Valor]],Listas!A:B,2,FALSE)</f>
        <v>#N/A</v>
      </c>
    </row>
    <row r="1137" spans="1:8" hidden="1" x14ac:dyDescent="0.3">
      <c r="A1137" t="s">
        <v>83</v>
      </c>
      <c r="B1137" t="s">
        <v>98</v>
      </c>
      <c r="C1137" t="s">
        <v>103</v>
      </c>
      <c r="D1137" s="19">
        <v>46162</v>
      </c>
      <c r="E1137" t="s">
        <v>77</v>
      </c>
      <c r="F1137">
        <f>+_xlfn.ISOWEEKNUM(export?format_csv_gid_612082435[[#This Row],[Fecha]])</f>
        <v>21</v>
      </c>
      <c r="G1137">
        <f>+YEAR(export?format_csv_gid_612082435[[#This Row],[Fecha]])</f>
        <v>2026</v>
      </c>
      <c r="H1137" t="e">
        <f>+VLOOKUP(export?format_csv_gid_612082435[[#This Row],[Valor]],Listas!A:B,2,FALSE)</f>
        <v>#N/A</v>
      </c>
    </row>
    <row r="1138" spans="1:8" hidden="1" x14ac:dyDescent="0.3">
      <c r="A1138" t="s">
        <v>83</v>
      </c>
      <c r="B1138" t="s">
        <v>98</v>
      </c>
      <c r="C1138" t="s">
        <v>103</v>
      </c>
      <c r="D1138" s="19">
        <v>46163</v>
      </c>
      <c r="E1138" t="s">
        <v>77</v>
      </c>
      <c r="F1138">
        <f>+_xlfn.ISOWEEKNUM(export?format_csv_gid_612082435[[#This Row],[Fecha]])</f>
        <v>21</v>
      </c>
      <c r="G1138">
        <f>+YEAR(export?format_csv_gid_612082435[[#This Row],[Fecha]])</f>
        <v>2026</v>
      </c>
      <c r="H1138" t="e">
        <f>+VLOOKUP(export?format_csv_gid_612082435[[#This Row],[Valor]],Listas!A:B,2,FALSE)</f>
        <v>#N/A</v>
      </c>
    </row>
    <row r="1139" spans="1:8" hidden="1" x14ac:dyDescent="0.3">
      <c r="A1139" t="s">
        <v>83</v>
      </c>
      <c r="B1139" t="s">
        <v>98</v>
      </c>
      <c r="C1139" t="s">
        <v>103</v>
      </c>
      <c r="D1139" s="19">
        <v>46164</v>
      </c>
      <c r="E1139" t="s">
        <v>77</v>
      </c>
      <c r="F1139">
        <f>+_xlfn.ISOWEEKNUM(export?format_csv_gid_612082435[[#This Row],[Fecha]])</f>
        <v>21</v>
      </c>
      <c r="G1139">
        <f>+YEAR(export?format_csv_gid_612082435[[#This Row],[Fecha]])</f>
        <v>2026</v>
      </c>
      <c r="H1139" t="e">
        <f>+VLOOKUP(export?format_csv_gid_612082435[[#This Row],[Valor]],Listas!A:B,2,FALSE)</f>
        <v>#N/A</v>
      </c>
    </row>
    <row r="1140" spans="1:8" hidden="1" x14ac:dyDescent="0.3">
      <c r="A1140" t="s">
        <v>83</v>
      </c>
      <c r="B1140" t="s">
        <v>98</v>
      </c>
      <c r="C1140" t="s">
        <v>103</v>
      </c>
      <c r="D1140" s="19">
        <v>46165</v>
      </c>
      <c r="E1140" t="s">
        <v>77</v>
      </c>
      <c r="F1140">
        <f>+_xlfn.ISOWEEKNUM(export?format_csv_gid_612082435[[#This Row],[Fecha]])</f>
        <v>21</v>
      </c>
      <c r="G1140">
        <f>+YEAR(export?format_csv_gid_612082435[[#This Row],[Fecha]])</f>
        <v>2026</v>
      </c>
      <c r="H1140" t="e">
        <f>+VLOOKUP(export?format_csv_gid_612082435[[#This Row],[Valor]],Listas!A:B,2,FALSE)</f>
        <v>#N/A</v>
      </c>
    </row>
    <row r="1141" spans="1:8" hidden="1" x14ac:dyDescent="0.3">
      <c r="A1141" t="s">
        <v>83</v>
      </c>
      <c r="B1141" t="s">
        <v>98</v>
      </c>
      <c r="C1141" t="s">
        <v>103</v>
      </c>
      <c r="D1141" s="19">
        <v>46166</v>
      </c>
      <c r="E1141" t="s">
        <v>77</v>
      </c>
      <c r="F1141">
        <f>+_xlfn.ISOWEEKNUM(export?format_csv_gid_612082435[[#This Row],[Fecha]])</f>
        <v>21</v>
      </c>
      <c r="G1141">
        <f>+YEAR(export?format_csv_gid_612082435[[#This Row],[Fecha]])</f>
        <v>2026</v>
      </c>
      <c r="H1141" t="e">
        <f>+VLOOKUP(export?format_csv_gid_612082435[[#This Row],[Valor]],Listas!A:B,2,FALSE)</f>
        <v>#N/A</v>
      </c>
    </row>
    <row r="1142" spans="1:8" hidden="1" x14ac:dyDescent="0.3">
      <c r="A1142" t="s">
        <v>83</v>
      </c>
      <c r="B1142" t="s">
        <v>98</v>
      </c>
      <c r="C1142" t="s">
        <v>103</v>
      </c>
      <c r="D1142" s="19">
        <v>46167</v>
      </c>
      <c r="E1142" t="s">
        <v>77</v>
      </c>
      <c r="F1142">
        <f>+_xlfn.ISOWEEKNUM(export?format_csv_gid_612082435[[#This Row],[Fecha]])</f>
        <v>22</v>
      </c>
      <c r="G1142">
        <f>+YEAR(export?format_csv_gid_612082435[[#This Row],[Fecha]])</f>
        <v>2026</v>
      </c>
      <c r="H1142" t="e">
        <f>+VLOOKUP(export?format_csv_gid_612082435[[#This Row],[Valor]],Listas!A:B,2,FALSE)</f>
        <v>#N/A</v>
      </c>
    </row>
    <row r="1143" spans="1:8" hidden="1" x14ac:dyDescent="0.3">
      <c r="A1143" t="s">
        <v>83</v>
      </c>
      <c r="B1143" t="s">
        <v>98</v>
      </c>
      <c r="C1143" t="s">
        <v>103</v>
      </c>
      <c r="D1143" s="19">
        <v>46168</v>
      </c>
      <c r="E1143" t="s">
        <v>77</v>
      </c>
      <c r="F1143">
        <f>+_xlfn.ISOWEEKNUM(export?format_csv_gid_612082435[[#This Row],[Fecha]])</f>
        <v>22</v>
      </c>
      <c r="G1143">
        <f>+YEAR(export?format_csv_gid_612082435[[#This Row],[Fecha]])</f>
        <v>2026</v>
      </c>
      <c r="H1143" t="e">
        <f>+VLOOKUP(export?format_csv_gid_612082435[[#This Row],[Valor]],Listas!A:B,2,FALSE)</f>
        <v>#N/A</v>
      </c>
    </row>
    <row r="1144" spans="1:8" hidden="1" x14ac:dyDescent="0.3">
      <c r="A1144" t="s">
        <v>83</v>
      </c>
      <c r="B1144" t="s">
        <v>98</v>
      </c>
      <c r="C1144" t="s">
        <v>103</v>
      </c>
      <c r="D1144" s="19">
        <v>46169</v>
      </c>
      <c r="E1144" t="s">
        <v>77</v>
      </c>
      <c r="F1144">
        <f>+_xlfn.ISOWEEKNUM(export?format_csv_gid_612082435[[#This Row],[Fecha]])</f>
        <v>22</v>
      </c>
      <c r="G1144">
        <f>+YEAR(export?format_csv_gid_612082435[[#This Row],[Fecha]])</f>
        <v>2026</v>
      </c>
      <c r="H1144" t="e">
        <f>+VLOOKUP(export?format_csv_gid_612082435[[#This Row],[Valor]],Listas!A:B,2,FALSE)</f>
        <v>#N/A</v>
      </c>
    </row>
    <row r="1145" spans="1:8" hidden="1" x14ac:dyDescent="0.3">
      <c r="A1145" t="s">
        <v>83</v>
      </c>
      <c r="B1145" t="s">
        <v>98</v>
      </c>
      <c r="C1145" t="s">
        <v>103</v>
      </c>
      <c r="D1145" s="19">
        <v>46170</v>
      </c>
      <c r="E1145" t="s">
        <v>77</v>
      </c>
      <c r="F1145">
        <f>+_xlfn.ISOWEEKNUM(export?format_csv_gid_612082435[[#This Row],[Fecha]])</f>
        <v>22</v>
      </c>
      <c r="G1145">
        <f>+YEAR(export?format_csv_gid_612082435[[#This Row],[Fecha]])</f>
        <v>2026</v>
      </c>
      <c r="H1145" t="e">
        <f>+VLOOKUP(export?format_csv_gid_612082435[[#This Row],[Valor]],Listas!A:B,2,FALSE)</f>
        <v>#N/A</v>
      </c>
    </row>
    <row r="1146" spans="1:8" hidden="1" x14ac:dyDescent="0.3">
      <c r="A1146" t="s">
        <v>83</v>
      </c>
      <c r="B1146" t="s">
        <v>98</v>
      </c>
      <c r="C1146" t="s">
        <v>103</v>
      </c>
      <c r="D1146" s="19">
        <v>46171</v>
      </c>
      <c r="E1146" t="s">
        <v>77</v>
      </c>
      <c r="F1146">
        <f>+_xlfn.ISOWEEKNUM(export?format_csv_gid_612082435[[#This Row],[Fecha]])</f>
        <v>22</v>
      </c>
      <c r="G1146">
        <f>+YEAR(export?format_csv_gid_612082435[[#This Row],[Fecha]])</f>
        <v>2026</v>
      </c>
      <c r="H1146" t="e">
        <f>+VLOOKUP(export?format_csv_gid_612082435[[#This Row],[Valor]],Listas!A:B,2,FALSE)</f>
        <v>#N/A</v>
      </c>
    </row>
    <row r="1147" spans="1:8" hidden="1" x14ac:dyDescent="0.3">
      <c r="A1147" t="s">
        <v>83</v>
      </c>
      <c r="B1147" t="s">
        <v>98</v>
      </c>
      <c r="C1147" t="s">
        <v>103</v>
      </c>
      <c r="D1147" s="19">
        <v>46172</v>
      </c>
      <c r="E1147" t="s">
        <v>77</v>
      </c>
      <c r="F1147">
        <f>+_xlfn.ISOWEEKNUM(export?format_csv_gid_612082435[[#This Row],[Fecha]])</f>
        <v>22</v>
      </c>
      <c r="G1147">
        <f>+YEAR(export?format_csv_gid_612082435[[#This Row],[Fecha]])</f>
        <v>2026</v>
      </c>
      <c r="H1147" t="e">
        <f>+VLOOKUP(export?format_csv_gid_612082435[[#This Row],[Valor]],Listas!A:B,2,FALSE)</f>
        <v>#N/A</v>
      </c>
    </row>
    <row r="1148" spans="1:8" hidden="1" x14ac:dyDescent="0.3">
      <c r="A1148" t="s">
        <v>83</v>
      </c>
      <c r="B1148" t="s">
        <v>98</v>
      </c>
      <c r="C1148" t="s">
        <v>103</v>
      </c>
      <c r="D1148" s="19">
        <v>46173</v>
      </c>
      <c r="E1148" t="s">
        <v>77</v>
      </c>
      <c r="F1148">
        <f>+_xlfn.ISOWEEKNUM(export?format_csv_gid_612082435[[#This Row],[Fecha]])</f>
        <v>22</v>
      </c>
      <c r="G1148">
        <f>+YEAR(export?format_csv_gid_612082435[[#This Row],[Fecha]])</f>
        <v>2026</v>
      </c>
      <c r="H1148" t="e">
        <f>+VLOOKUP(export?format_csv_gid_612082435[[#This Row],[Valor]],Listas!A:B,2,FALSE)</f>
        <v>#N/A</v>
      </c>
    </row>
    <row r="1149" spans="1:8" hidden="1" x14ac:dyDescent="0.3">
      <c r="A1149" t="s">
        <v>83</v>
      </c>
      <c r="B1149" t="s">
        <v>98</v>
      </c>
      <c r="C1149" t="s">
        <v>104</v>
      </c>
      <c r="D1149" s="19">
        <v>46143</v>
      </c>
      <c r="E1149" t="s">
        <v>85</v>
      </c>
      <c r="F1149">
        <f>+_xlfn.ISOWEEKNUM(export?format_csv_gid_612082435[[#This Row],[Fecha]])</f>
        <v>18</v>
      </c>
      <c r="G1149">
        <f>+YEAR(export?format_csv_gid_612082435[[#This Row],[Fecha]])</f>
        <v>2026</v>
      </c>
      <c r="H1149" t="e">
        <f>+VLOOKUP(export?format_csv_gid_612082435[[#This Row],[Valor]],Listas!A:B,2,FALSE)</f>
        <v>#N/A</v>
      </c>
    </row>
    <row r="1150" spans="1:8" hidden="1" x14ac:dyDescent="0.3">
      <c r="A1150" t="s">
        <v>83</v>
      </c>
      <c r="B1150" t="s">
        <v>98</v>
      </c>
      <c r="C1150" t="s">
        <v>104</v>
      </c>
      <c r="D1150" s="19">
        <v>46144</v>
      </c>
      <c r="E1150" t="s">
        <v>85</v>
      </c>
      <c r="F1150">
        <f>+_xlfn.ISOWEEKNUM(export?format_csv_gid_612082435[[#This Row],[Fecha]])</f>
        <v>18</v>
      </c>
      <c r="G1150">
        <f>+YEAR(export?format_csv_gid_612082435[[#This Row],[Fecha]])</f>
        <v>2026</v>
      </c>
      <c r="H1150" t="e">
        <f>+VLOOKUP(export?format_csv_gid_612082435[[#This Row],[Valor]],Listas!A:B,2,FALSE)</f>
        <v>#N/A</v>
      </c>
    </row>
    <row r="1151" spans="1:8" hidden="1" x14ac:dyDescent="0.3">
      <c r="A1151" t="s">
        <v>83</v>
      </c>
      <c r="B1151" t="s">
        <v>98</v>
      </c>
      <c r="C1151" t="s">
        <v>104</v>
      </c>
      <c r="D1151" s="19">
        <v>46145</v>
      </c>
      <c r="E1151" t="s">
        <v>85</v>
      </c>
      <c r="F1151">
        <f>+_xlfn.ISOWEEKNUM(export?format_csv_gid_612082435[[#This Row],[Fecha]])</f>
        <v>18</v>
      </c>
      <c r="G1151">
        <f>+YEAR(export?format_csv_gid_612082435[[#This Row],[Fecha]])</f>
        <v>2026</v>
      </c>
      <c r="H1151" t="e">
        <f>+VLOOKUP(export?format_csv_gid_612082435[[#This Row],[Valor]],Listas!A:B,2,FALSE)</f>
        <v>#N/A</v>
      </c>
    </row>
    <row r="1152" spans="1:8" hidden="1" x14ac:dyDescent="0.3">
      <c r="A1152" t="s">
        <v>83</v>
      </c>
      <c r="B1152" t="s">
        <v>98</v>
      </c>
      <c r="C1152" t="s">
        <v>104</v>
      </c>
      <c r="D1152" s="19">
        <v>46146</v>
      </c>
      <c r="E1152" t="s">
        <v>85</v>
      </c>
      <c r="F1152">
        <f>+_xlfn.ISOWEEKNUM(export?format_csv_gid_612082435[[#This Row],[Fecha]])</f>
        <v>19</v>
      </c>
      <c r="G1152">
        <f>+YEAR(export?format_csv_gid_612082435[[#This Row],[Fecha]])</f>
        <v>2026</v>
      </c>
      <c r="H1152" t="e">
        <f>+VLOOKUP(export?format_csv_gid_612082435[[#This Row],[Valor]],Listas!A:B,2,FALSE)</f>
        <v>#N/A</v>
      </c>
    </row>
    <row r="1153" spans="1:8" hidden="1" x14ac:dyDescent="0.3">
      <c r="A1153" t="s">
        <v>83</v>
      </c>
      <c r="B1153" t="s">
        <v>98</v>
      </c>
      <c r="C1153" t="s">
        <v>104</v>
      </c>
      <c r="D1153" s="19">
        <v>46147</v>
      </c>
      <c r="E1153" t="s">
        <v>85</v>
      </c>
      <c r="F1153">
        <f>+_xlfn.ISOWEEKNUM(export?format_csv_gid_612082435[[#This Row],[Fecha]])</f>
        <v>19</v>
      </c>
      <c r="G1153">
        <f>+YEAR(export?format_csv_gid_612082435[[#This Row],[Fecha]])</f>
        <v>2026</v>
      </c>
      <c r="H1153" t="e">
        <f>+VLOOKUP(export?format_csv_gid_612082435[[#This Row],[Valor]],Listas!A:B,2,FALSE)</f>
        <v>#N/A</v>
      </c>
    </row>
    <row r="1154" spans="1:8" hidden="1" x14ac:dyDescent="0.3">
      <c r="A1154" t="s">
        <v>83</v>
      </c>
      <c r="B1154" t="s">
        <v>98</v>
      </c>
      <c r="C1154" t="s">
        <v>104</v>
      </c>
      <c r="D1154" s="19">
        <v>46148</v>
      </c>
      <c r="E1154" t="s">
        <v>85</v>
      </c>
      <c r="F1154">
        <f>+_xlfn.ISOWEEKNUM(export?format_csv_gid_612082435[[#This Row],[Fecha]])</f>
        <v>19</v>
      </c>
      <c r="G1154">
        <f>+YEAR(export?format_csv_gid_612082435[[#This Row],[Fecha]])</f>
        <v>2026</v>
      </c>
      <c r="H1154" t="e">
        <f>+VLOOKUP(export?format_csv_gid_612082435[[#This Row],[Valor]],Listas!A:B,2,FALSE)</f>
        <v>#N/A</v>
      </c>
    </row>
    <row r="1155" spans="1:8" hidden="1" x14ac:dyDescent="0.3">
      <c r="A1155" t="s">
        <v>83</v>
      </c>
      <c r="B1155" t="s">
        <v>98</v>
      </c>
      <c r="C1155" t="s">
        <v>104</v>
      </c>
      <c r="D1155" s="19">
        <v>46149</v>
      </c>
      <c r="E1155" t="s">
        <v>85</v>
      </c>
      <c r="F1155">
        <f>+_xlfn.ISOWEEKNUM(export?format_csv_gid_612082435[[#This Row],[Fecha]])</f>
        <v>19</v>
      </c>
      <c r="G1155">
        <f>+YEAR(export?format_csv_gid_612082435[[#This Row],[Fecha]])</f>
        <v>2026</v>
      </c>
      <c r="H1155" t="e">
        <f>+VLOOKUP(export?format_csv_gid_612082435[[#This Row],[Valor]],Listas!A:B,2,FALSE)</f>
        <v>#N/A</v>
      </c>
    </row>
    <row r="1156" spans="1:8" hidden="1" x14ac:dyDescent="0.3">
      <c r="A1156" t="s">
        <v>83</v>
      </c>
      <c r="B1156" t="s">
        <v>98</v>
      </c>
      <c r="C1156" t="s">
        <v>104</v>
      </c>
      <c r="D1156" s="19">
        <v>46150</v>
      </c>
      <c r="E1156" t="s">
        <v>85</v>
      </c>
      <c r="F1156">
        <f>+_xlfn.ISOWEEKNUM(export?format_csv_gid_612082435[[#This Row],[Fecha]])</f>
        <v>19</v>
      </c>
      <c r="G1156">
        <f>+YEAR(export?format_csv_gid_612082435[[#This Row],[Fecha]])</f>
        <v>2026</v>
      </c>
      <c r="H1156" t="e">
        <f>+VLOOKUP(export?format_csv_gid_612082435[[#This Row],[Valor]],Listas!A:B,2,FALSE)</f>
        <v>#N/A</v>
      </c>
    </row>
    <row r="1157" spans="1:8" hidden="1" x14ac:dyDescent="0.3">
      <c r="A1157" t="s">
        <v>83</v>
      </c>
      <c r="B1157" t="s">
        <v>98</v>
      </c>
      <c r="C1157" t="s">
        <v>104</v>
      </c>
      <c r="D1157" s="19">
        <v>46151</v>
      </c>
      <c r="E1157" t="s">
        <v>85</v>
      </c>
      <c r="F1157">
        <f>+_xlfn.ISOWEEKNUM(export?format_csv_gid_612082435[[#This Row],[Fecha]])</f>
        <v>19</v>
      </c>
      <c r="G1157">
        <f>+YEAR(export?format_csv_gid_612082435[[#This Row],[Fecha]])</f>
        <v>2026</v>
      </c>
      <c r="H1157" t="e">
        <f>+VLOOKUP(export?format_csv_gid_612082435[[#This Row],[Valor]],Listas!A:B,2,FALSE)</f>
        <v>#N/A</v>
      </c>
    </row>
    <row r="1158" spans="1:8" hidden="1" x14ac:dyDescent="0.3">
      <c r="A1158" t="s">
        <v>83</v>
      </c>
      <c r="B1158" t="s">
        <v>98</v>
      </c>
      <c r="C1158" t="s">
        <v>104</v>
      </c>
      <c r="D1158" s="19">
        <v>46152</v>
      </c>
      <c r="E1158" t="s">
        <v>85</v>
      </c>
      <c r="F1158">
        <f>+_xlfn.ISOWEEKNUM(export?format_csv_gid_612082435[[#This Row],[Fecha]])</f>
        <v>19</v>
      </c>
      <c r="G1158">
        <f>+YEAR(export?format_csv_gid_612082435[[#This Row],[Fecha]])</f>
        <v>2026</v>
      </c>
      <c r="H1158" t="e">
        <f>+VLOOKUP(export?format_csv_gid_612082435[[#This Row],[Valor]],Listas!A:B,2,FALSE)</f>
        <v>#N/A</v>
      </c>
    </row>
    <row r="1159" spans="1:8" hidden="1" x14ac:dyDescent="0.3">
      <c r="A1159" t="s">
        <v>83</v>
      </c>
      <c r="B1159" t="s">
        <v>98</v>
      </c>
      <c r="C1159" t="s">
        <v>104</v>
      </c>
      <c r="D1159" s="19">
        <v>46153</v>
      </c>
      <c r="E1159" t="s">
        <v>85</v>
      </c>
      <c r="F1159">
        <f>+_xlfn.ISOWEEKNUM(export?format_csv_gid_612082435[[#This Row],[Fecha]])</f>
        <v>20</v>
      </c>
      <c r="G1159">
        <f>+YEAR(export?format_csv_gid_612082435[[#This Row],[Fecha]])</f>
        <v>2026</v>
      </c>
      <c r="H1159" t="e">
        <f>+VLOOKUP(export?format_csv_gid_612082435[[#This Row],[Valor]],Listas!A:B,2,FALSE)</f>
        <v>#N/A</v>
      </c>
    </row>
    <row r="1160" spans="1:8" hidden="1" x14ac:dyDescent="0.3">
      <c r="A1160" t="s">
        <v>83</v>
      </c>
      <c r="B1160" t="s">
        <v>98</v>
      </c>
      <c r="C1160" t="s">
        <v>104</v>
      </c>
      <c r="D1160" s="19">
        <v>46154</v>
      </c>
      <c r="E1160" t="s">
        <v>85</v>
      </c>
      <c r="F1160">
        <f>+_xlfn.ISOWEEKNUM(export?format_csv_gid_612082435[[#This Row],[Fecha]])</f>
        <v>20</v>
      </c>
      <c r="G1160">
        <f>+YEAR(export?format_csv_gid_612082435[[#This Row],[Fecha]])</f>
        <v>2026</v>
      </c>
      <c r="H1160" t="e">
        <f>+VLOOKUP(export?format_csv_gid_612082435[[#This Row],[Valor]],Listas!A:B,2,FALSE)</f>
        <v>#N/A</v>
      </c>
    </row>
    <row r="1161" spans="1:8" hidden="1" x14ac:dyDescent="0.3">
      <c r="A1161" t="s">
        <v>83</v>
      </c>
      <c r="B1161" t="s">
        <v>98</v>
      </c>
      <c r="C1161" t="s">
        <v>104</v>
      </c>
      <c r="D1161" s="19">
        <v>46155</v>
      </c>
      <c r="E1161" t="s">
        <v>77</v>
      </c>
      <c r="F1161">
        <f>+_xlfn.ISOWEEKNUM(export?format_csv_gid_612082435[[#This Row],[Fecha]])</f>
        <v>20</v>
      </c>
      <c r="G1161">
        <f>+YEAR(export?format_csv_gid_612082435[[#This Row],[Fecha]])</f>
        <v>2026</v>
      </c>
      <c r="H1161" t="e">
        <f>+VLOOKUP(export?format_csv_gid_612082435[[#This Row],[Valor]],Listas!A:B,2,FALSE)</f>
        <v>#N/A</v>
      </c>
    </row>
    <row r="1162" spans="1:8" hidden="1" x14ac:dyDescent="0.3">
      <c r="A1162" t="s">
        <v>83</v>
      </c>
      <c r="B1162" t="s">
        <v>98</v>
      </c>
      <c r="C1162" t="s">
        <v>104</v>
      </c>
      <c r="D1162" s="19">
        <v>46156</v>
      </c>
      <c r="E1162" t="s">
        <v>77</v>
      </c>
      <c r="F1162">
        <f>+_xlfn.ISOWEEKNUM(export?format_csv_gid_612082435[[#This Row],[Fecha]])</f>
        <v>20</v>
      </c>
      <c r="G1162">
        <f>+YEAR(export?format_csv_gid_612082435[[#This Row],[Fecha]])</f>
        <v>2026</v>
      </c>
      <c r="H1162" t="e">
        <f>+VLOOKUP(export?format_csv_gid_612082435[[#This Row],[Valor]],Listas!A:B,2,FALSE)</f>
        <v>#N/A</v>
      </c>
    </row>
    <row r="1163" spans="1:8" hidden="1" x14ac:dyDescent="0.3">
      <c r="A1163" t="s">
        <v>83</v>
      </c>
      <c r="B1163" t="s">
        <v>98</v>
      </c>
      <c r="C1163" t="s">
        <v>104</v>
      </c>
      <c r="D1163" s="19">
        <v>46157</v>
      </c>
      <c r="E1163" t="s">
        <v>77</v>
      </c>
      <c r="F1163">
        <f>+_xlfn.ISOWEEKNUM(export?format_csv_gid_612082435[[#This Row],[Fecha]])</f>
        <v>20</v>
      </c>
      <c r="G1163">
        <f>+YEAR(export?format_csv_gid_612082435[[#This Row],[Fecha]])</f>
        <v>2026</v>
      </c>
      <c r="H1163" t="e">
        <f>+VLOOKUP(export?format_csv_gid_612082435[[#This Row],[Valor]],Listas!A:B,2,FALSE)</f>
        <v>#N/A</v>
      </c>
    </row>
    <row r="1164" spans="1:8" hidden="1" x14ac:dyDescent="0.3">
      <c r="A1164" t="s">
        <v>83</v>
      </c>
      <c r="B1164" t="s">
        <v>98</v>
      </c>
      <c r="C1164" t="s">
        <v>104</v>
      </c>
      <c r="D1164" s="19">
        <v>46158</v>
      </c>
      <c r="E1164" t="s">
        <v>77</v>
      </c>
      <c r="F1164">
        <f>+_xlfn.ISOWEEKNUM(export?format_csv_gid_612082435[[#This Row],[Fecha]])</f>
        <v>20</v>
      </c>
      <c r="G1164">
        <f>+YEAR(export?format_csv_gid_612082435[[#This Row],[Fecha]])</f>
        <v>2026</v>
      </c>
      <c r="H1164" t="e">
        <f>+VLOOKUP(export?format_csv_gid_612082435[[#This Row],[Valor]],Listas!A:B,2,FALSE)</f>
        <v>#N/A</v>
      </c>
    </row>
    <row r="1165" spans="1:8" hidden="1" x14ac:dyDescent="0.3">
      <c r="A1165" t="s">
        <v>83</v>
      </c>
      <c r="B1165" t="s">
        <v>98</v>
      </c>
      <c r="C1165" t="s">
        <v>104</v>
      </c>
      <c r="D1165" s="19">
        <v>46159</v>
      </c>
      <c r="E1165" t="s">
        <v>77</v>
      </c>
      <c r="F1165">
        <f>+_xlfn.ISOWEEKNUM(export?format_csv_gid_612082435[[#This Row],[Fecha]])</f>
        <v>20</v>
      </c>
      <c r="G1165">
        <f>+YEAR(export?format_csv_gid_612082435[[#This Row],[Fecha]])</f>
        <v>2026</v>
      </c>
      <c r="H1165" t="e">
        <f>+VLOOKUP(export?format_csv_gid_612082435[[#This Row],[Valor]],Listas!A:B,2,FALSE)</f>
        <v>#N/A</v>
      </c>
    </row>
    <row r="1166" spans="1:8" hidden="1" x14ac:dyDescent="0.3">
      <c r="A1166" t="s">
        <v>83</v>
      </c>
      <c r="B1166" t="s">
        <v>98</v>
      </c>
      <c r="C1166" t="s">
        <v>104</v>
      </c>
      <c r="D1166" s="19">
        <v>46160</v>
      </c>
      <c r="E1166" t="s">
        <v>77</v>
      </c>
      <c r="F1166">
        <f>+_xlfn.ISOWEEKNUM(export?format_csv_gid_612082435[[#This Row],[Fecha]])</f>
        <v>21</v>
      </c>
      <c r="G1166">
        <f>+YEAR(export?format_csv_gid_612082435[[#This Row],[Fecha]])</f>
        <v>2026</v>
      </c>
      <c r="H1166" t="e">
        <f>+VLOOKUP(export?format_csv_gid_612082435[[#This Row],[Valor]],Listas!A:B,2,FALSE)</f>
        <v>#N/A</v>
      </c>
    </row>
    <row r="1167" spans="1:8" hidden="1" x14ac:dyDescent="0.3">
      <c r="A1167" t="s">
        <v>83</v>
      </c>
      <c r="B1167" t="s">
        <v>98</v>
      </c>
      <c r="C1167" t="s">
        <v>104</v>
      </c>
      <c r="D1167" s="19">
        <v>46161</v>
      </c>
      <c r="E1167" t="s">
        <v>77</v>
      </c>
      <c r="F1167">
        <f>+_xlfn.ISOWEEKNUM(export?format_csv_gid_612082435[[#This Row],[Fecha]])</f>
        <v>21</v>
      </c>
      <c r="G1167">
        <f>+YEAR(export?format_csv_gid_612082435[[#This Row],[Fecha]])</f>
        <v>2026</v>
      </c>
      <c r="H1167" t="e">
        <f>+VLOOKUP(export?format_csv_gid_612082435[[#This Row],[Valor]],Listas!A:B,2,FALSE)</f>
        <v>#N/A</v>
      </c>
    </row>
    <row r="1168" spans="1:8" hidden="1" x14ac:dyDescent="0.3">
      <c r="A1168" t="s">
        <v>83</v>
      </c>
      <c r="B1168" t="s">
        <v>98</v>
      </c>
      <c r="C1168" t="s">
        <v>104</v>
      </c>
      <c r="D1168" s="19">
        <v>46162</v>
      </c>
      <c r="E1168" t="s">
        <v>77</v>
      </c>
      <c r="F1168">
        <f>+_xlfn.ISOWEEKNUM(export?format_csv_gid_612082435[[#This Row],[Fecha]])</f>
        <v>21</v>
      </c>
      <c r="G1168">
        <f>+YEAR(export?format_csv_gid_612082435[[#This Row],[Fecha]])</f>
        <v>2026</v>
      </c>
      <c r="H1168" t="e">
        <f>+VLOOKUP(export?format_csv_gid_612082435[[#This Row],[Valor]],Listas!A:B,2,FALSE)</f>
        <v>#N/A</v>
      </c>
    </row>
    <row r="1169" spans="1:8" hidden="1" x14ac:dyDescent="0.3">
      <c r="A1169" t="s">
        <v>83</v>
      </c>
      <c r="B1169" t="s">
        <v>98</v>
      </c>
      <c r="C1169" t="s">
        <v>104</v>
      </c>
      <c r="D1169" s="19">
        <v>46163</v>
      </c>
      <c r="E1169" t="s">
        <v>77</v>
      </c>
      <c r="F1169">
        <f>+_xlfn.ISOWEEKNUM(export?format_csv_gid_612082435[[#This Row],[Fecha]])</f>
        <v>21</v>
      </c>
      <c r="G1169">
        <f>+YEAR(export?format_csv_gid_612082435[[#This Row],[Fecha]])</f>
        <v>2026</v>
      </c>
      <c r="H1169" t="e">
        <f>+VLOOKUP(export?format_csv_gid_612082435[[#This Row],[Valor]],Listas!A:B,2,FALSE)</f>
        <v>#N/A</v>
      </c>
    </row>
    <row r="1170" spans="1:8" hidden="1" x14ac:dyDescent="0.3">
      <c r="A1170" t="s">
        <v>83</v>
      </c>
      <c r="B1170" t="s">
        <v>98</v>
      </c>
      <c r="C1170" t="s">
        <v>104</v>
      </c>
      <c r="D1170" s="19">
        <v>46164</v>
      </c>
      <c r="E1170" t="s">
        <v>77</v>
      </c>
      <c r="F1170">
        <f>+_xlfn.ISOWEEKNUM(export?format_csv_gid_612082435[[#This Row],[Fecha]])</f>
        <v>21</v>
      </c>
      <c r="G1170">
        <f>+YEAR(export?format_csv_gid_612082435[[#This Row],[Fecha]])</f>
        <v>2026</v>
      </c>
      <c r="H1170" t="e">
        <f>+VLOOKUP(export?format_csv_gid_612082435[[#This Row],[Valor]],Listas!A:B,2,FALSE)</f>
        <v>#N/A</v>
      </c>
    </row>
    <row r="1171" spans="1:8" hidden="1" x14ac:dyDescent="0.3">
      <c r="A1171" t="s">
        <v>83</v>
      </c>
      <c r="B1171" t="s">
        <v>98</v>
      </c>
      <c r="C1171" t="s">
        <v>104</v>
      </c>
      <c r="D1171" s="19">
        <v>46165</v>
      </c>
      <c r="E1171" t="s">
        <v>77</v>
      </c>
      <c r="F1171">
        <f>+_xlfn.ISOWEEKNUM(export?format_csv_gid_612082435[[#This Row],[Fecha]])</f>
        <v>21</v>
      </c>
      <c r="G1171">
        <f>+YEAR(export?format_csv_gid_612082435[[#This Row],[Fecha]])</f>
        <v>2026</v>
      </c>
      <c r="H1171" t="e">
        <f>+VLOOKUP(export?format_csv_gid_612082435[[#This Row],[Valor]],Listas!A:B,2,FALSE)</f>
        <v>#N/A</v>
      </c>
    </row>
    <row r="1172" spans="1:8" hidden="1" x14ac:dyDescent="0.3">
      <c r="A1172" t="s">
        <v>83</v>
      </c>
      <c r="B1172" t="s">
        <v>98</v>
      </c>
      <c r="C1172" t="s">
        <v>104</v>
      </c>
      <c r="D1172" s="19">
        <v>46166</v>
      </c>
      <c r="E1172" t="s">
        <v>77</v>
      </c>
      <c r="F1172">
        <f>+_xlfn.ISOWEEKNUM(export?format_csv_gid_612082435[[#This Row],[Fecha]])</f>
        <v>21</v>
      </c>
      <c r="G1172">
        <f>+YEAR(export?format_csv_gid_612082435[[#This Row],[Fecha]])</f>
        <v>2026</v>
      </c>
      <c r="H1172" t="e">
        <f>+VLOOKUP(export?format_csv_gid_612082435[[#This Row],[Valor]],Listas!A:B,2,FALSE)</f>
        <v>#N/A</v>
      </c>
    </row>
    <row r="1173" spans="1:8" hidden="1" x14ac:dyDescent="0.3">
      <c r="A1173" t="s">
        <v>83</v>
      </c>
      <c r="B1173" t="s">
        <v>98</v>
      </c>
      <c r="C1173" t="s">
        <v>104</v>
      </c>
      <c r="D1173" s="19">
        <v>46167</v>
      </c>
      <c r="E1173" t="s">
        <v>77</v>
      </c>
      <c r="F1173">
        <f>+_xlfn.ISOWEEKNUM(export?format_csv_gid_612082435[[#This Row],[Fecha]])</f>
        <v>22</v>
      </c>
      <c r="G1173">
        <f>+YEAR(export?format_csv_gid_612082435[[#This Row],[Fecha]])</f>
        <v>2026</v>
      </c>
      <c r="H1173" t="e">
        <f>+VLOOKUP(export?format_csv_gid_612082435[[#This Row],[Valor]],Listas!A:B,2,FALSE)</f>
        <v>#N/A</v>
      </c>
    </row>
    <row r="1174" spans="1:8" hidden="1" x14ac:dyDescent="0.3">
      <c r="A1174" t="s">
        <v>83</v>
      </c>
      <c r="B1174" t="s">
        <v>98</v>
      </c>
      <c r="C1174" t="s">
        <v>104</v>
      </c>
      <c r="D1174" s="19">
        <v>46168</v>
      </c>
      <c r="E1174" t="s">
        <v>77</v>
      </c>
      <c r="F1174">
        <f>+_xlfn.ISOWEEKNUM(export?format_csv_gid_612082435[[#This Row],[Fecha]])</f>
        <v>22</v>
      </c>
      <c r="G1174">
        <f>+YEAR(export?format_csv_gid_612082435[[#This Row],[Fecha]])</f>
        <v>2026</v>
      </c>
      <c r="H1174" t="e">
        <f>+VLOOKUP(export?format_csv_gid_612082435[[#This Row],[Valor]],Listas!A:B,2,FALSE)</f>
        <v>#N/A</v>
      </c>
    </row>
    <row r="1175" spans="1:8" hidden="1" x14ac:dyDescent="0.3">
      <c r="A1175" t="s">
        <v>83</v>
      </c>
      <c r="B1175" t="s">
        <v>98</v>
      </c>
      <c r="C1175" t="s">
        <v>104</v>
      </c>
      <c r="D1175" s="19">
        <v>46169</v>
      </c>
      <c r="E1175" t="s">
        <v>77</v>
      </c>
      <c r="F1175">
        <f>+_xlfn.ISOWEEKNUM(export?format_csv_gid_612082435[[#This Row],[Fecha]])</f>
        <v>22</v>
      </c>
      <c r="G1175">
        <f>+YEAR(export?format_csv_gid_612082435[[#This Row],[Fecha]])</f>
        <v>2026</v>
      </c>
      <c r="H1175" t="e">
        <f>+VLOOKUP(export?format_csv_gid_612082435[[#This Row],[Valor]],Listas!A:B,2,FALSE)</f>
        <v>#N/A</v>
      </c>
    </row>
    <row r="1176" spans="1:8" hidden="1" x14ac:dyDescent="0.3">
      <c r="A1176" t="s">
        <v>83</v>
      </c>
      <c r="B1176" t="s">
        <v>98</v>
      </c>
      <c r="C1176" t="s">
        <v>104</v>
      </c>
      <c r="D1176" s="19">
        <v>46170</v>
      </c>
      <c r="E1176" t="s">
        <v>77</v>
      </c>
      <c r="F1176">
        <f>+_xlfn.ISOWEEKNUM(export?format_csv_gid_612082435[[#This Row],[Fecha]])</f>
        <v>22</v>
      </c>
      <c r="G1176">
        <f>+YEAR(export?format_csv_gid_612082435[[#This Row],[Fecha]])</f>
        <v>2026</v>
      </c>
      <c r="H1176" t="e">
        <f>+VLOOKUP(export?format_csv_gid_612082435[[#This Row],[Valor]],Listas!A:B,2,FALSE)</f>
        <v>#N/A</v>
      </c>
    </row>
    <row r="1177" spans="1:8" hidden="1" x14ac:dyDescent="0.3">
      <c r="A1177" t="s">
        <v>83</v>
      </c>
      <c r="B1177" t="s">
        <v>98</v>
      </c>
      <c r="C1177" t="s">
        <v>104</v>
      </c>
      <c r="D1177" s="19">
        <v>46171</v>
      </c>
      <c r="E1177" t="s">
        <v>77</v>
      </c>
      <c r="F1177">
        <f>+_xlfn.ISOWEEKNUM(export?format_csv_gid_612082435[[#This Row],[Fecha]])</f>
        <v>22</v>
      </c>
      <c r="G1177">
        <f>+YEAR(export?format_csv_gid_612082435[[#This Row],[Fecha]])</f>
        <v>2026</v>
      </c>
      <c r="H1177" t="e">
        <f>+VLOOKUP(export?format_csv_gid_612082435[[#This Row],[Valor]],Listas!A:B,2,FALSE)</f>
        <v>#N/A</v>
      </c>
    </row>
    <row r="1178" spans="1:8" hidden="1" x14ac:dyDescent="0.3">
      <c r="A1178" t="s">
        <v>83</v>
      </c>
      <c r="B1178" t="s">
        <v>98</v>
      </c>
      <c r="C1178" t="s">
        <v>104</v>
      </c>
      <c r="D1178" s="19">
        <v>46172</v>
      </c>
      <c r="E1178" t="s">
        <v>77</v>
      </c>
      <c r="F1178">
        <f>+_xlfn.ISOWEEKNUM(export?format_csv_gid_612082435[[#This Row],[Fecha]])</f>
        <v>22</v>
      </c>
      <c r="G1178">
        <f>+YEAR(export?format_csv_gid_612082435[[#This Row],[Fecha]])</f>
        <v>2026</v>
      </c>
      <c r="H1178" t="e">
        <f>+VLOOKUP(export?format_csv_gid_612082435[[#This Row],[Valor]],Listas!A:B,2,FALSE)</f>
        <v>#N/A</v>
      </c>
    </row>
    <row r="1179" spans="1:8" hidden="1" x14ac:dyDescent="0.3">
      <c r="A1179" t="s">
        <v>83</v>
      </c>
      <c r="B1179" t="s">
        <v>98</v>
      </c>
      <c r="C1179" t="s">
        <v>104</v>
      </c>
      <c r="D1179" s="19">
        <v>46173</v>
      </c>
      <c r="E1179" t="s">
        <v>77</v>
      </c>
      <c r="F1179">
        <f>+_xlfn.ISOWEEKNUM(export?format_csv_gid_612082435[[#This Row],[Fecha]])</f>
        <v>22</v>
      </c>
      <c r="G1179">
        <f>+YEAR(export?format_csv_gid_612082435[[#This Row],[Fecha]])</f>
        <v>2026</v>
      </c>
      <c r="H1179" t="e">
        <f>+VLOOKUP(export?format_csv_gid_612082435[[#This Row],[Valor]],Listas!A:B,2,FALSE)</f>
        <v>#N/A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06406-DEEB-4D40-B405-836B3BF4FA34}">
  <dimension ref="A1:Y34"/>
  <sheetViews>
    <sheetView zoomScale="90" zoomScaleNormal="90" workbookViewId="0">
      <selection activeCell="Q10" sqref="Q10"/>
    </sheetView>
  </sheetViews>
  <sheetFormatPr defaultColWidth="11.5546875" defaultRowHeight="14.4" x14ac:dyDescent="0.3"/>
  <cols>
    <col min="1" max="1" width="36.6640625" bestFit="1" customWidth="1"/>
    <col min="2" max="7" width="5.6640625" style="1" customWidth="1"/>
    <col min="8" max="8" width="6.5546875" style="1" customWidth="1"/>
    <col min="9" max="13" width="11.5546875" style="1"/>
    <col min="16" max="16" width="36.6640625" bestFit="1" customWidth="1"/>
    <col min="17" max="22" width="5.6640625" style="1" customWidth="1"/>
    <col min="23" max="23" width="6.5546875" style="1" customWidth="1"/>
    <col min="24" max="24" width="11.5546875" style="1"/>
  </cols>
  <sheetData>
    <row r="1" spans="1:25" x14ac:dyDescent="0.3">
      <c r="A1" s="20" t="s">
        <v>68</v>
      </c>
      <c r="B1" t="s">
        <v>72</v>
      </c>
      <c r="P1" s="20" t="s">
        <v>68</v>
      </c>
      <c r="Q1" t="s">
        <v>72</v>
      </c>
    </row>
    <row r="2" spans="1:25" x14ac:dyDescent="0.3">
      <c r="A2" s="20" t="s">
        <v>70</v>
      </c>
      <c r="B2" t="s">
        <v>110</v>
      </c>
      <c r="P2" s="20" t="s">
        <v>70</v>
      </c>
      <c r="Q2" t="s">
        <v>110</v>
      </c>
    </row>
    <row r="4" spans="1:25" x14ac:dyDescent="0.3">
      <c r="A4" s="20" t="s">
        <v>111</v>
      </c>
      <c r="B4" s="22" t="s">
        <v>109</v>
      </c>
      <c r="P4" s="20" t="s">
        <v>111</v>
      </c>
      <c r="Q4" s="22" t="s">
        <v>109</v>
      </c>
      <c r="W4"/>
      <c r="X4"/>
    </row>
    <row r="5" spans="1:25" x14ac:dyDescent="0.3">
      <c r="A5" s="20" t="s">
        <v>107</v>
      </c>
      <c r="B5" s="1" t="s">
        <v>76</v>
      </c>
      <c r="C5" s="1" t="s">
        <v>114</v>
      </c>
      <c r="D5" s="1" t="s">
        <v>113</v>
      </c>
      <c r="E5" s="1" t="s">
        <v>75</v>
      </c>
      <c r="F5" s="1" t="s">
        <v>95</v>
      </c>
      <c r="G5" s="1" t="s">
        <v>92</v>
      </c>
      <c r="I5" t="s">
        <v>108</v>
      </c>
      <c r="J5"/>
      <c r="K5"/>
      <c r="L5"/>
      <c r="M5"/>
      <c r="P5" s="20" t="s">
        <v>107</v>
      </c>
      <c r="Q5" s="1" t="s">
        <v>76</v>
      </c>
      <c r="R5" s="1" t="s">
        <v>114</v>
      </c>
      <c r="S5" s="1" t="s">
        <v>113</v>
      </c>
      <c r="T5" s="1" t="s">
        <v>75</v>
      </c>
      <c r="U5" s="1" t="s">
        <v>92</v>
      </c>
      <c r="V5" t="s">
        <v>108</v>
      </c>
      <c r="W5"/>
      <c r="X5"/>
    </row>
    <row r="6" spans="1:25" x14ac:dyDescent="0.3">
      <c r="A6" s="21" t="s">
        <v>90</v>
      </c>
      <c r="B6" s="1">
        <v>5</v>
      </c>
      <c r="E6" s="1">
        <v>9</v>
      </c>
      <c r="H6" s="1">
        <v>1</v>
      </c>
      <c r="I6" s="1">
        <v>15</v>
      </c>
      <c r="J6" s="1">
        <f>+SUM(B6:C6)+H6</f>
        <v>6</v>
      </c>
      <c r="K6" s="1">
        <f>+SUM(D6)</f>
        <v>0</v>
      </c>
      <c r="L6" s="1">
        <f>+SUM(E6:F6)</f>
        <v>9</v>
      </c>
      <c r="P6" s="21" t="s">
        <v>90</v>
      </c>
      <c r="T6" s="1">
        <v>3</v>
      </c>
      <c r="V6" s="1">
        <v>3</v>
      </c>
      <c r="W6" s="1">
        <f>+SUM(Q6:R6)</f>
        <v>0</v>
      </c>
      <c r="X6" s="1">
        <f>+SUM(S6)</f>
        <v>0</v>
      </c>
      <c r="Y6" s="1">
        <f>+SUM(T6:U6)</f>
        <v>3</v>
      </c>
    </row>
    <row r="7" spans="1:25" x14ac:dyDescent="0.3">
      <c r="A7" s="21" t="s">
        <v>91</v>
      </c>
      <c r="B7" s="1">
        <v>12</v>
      </c>
      <c r="D7" s="1">
        <v>1</v>
      </c>
      <c r="E7" s="1">
        <v>2</v>
      </c>
      <c r="I7" s="1">
        <v>15</v>
      </c>
      <c r="J7" s="1">
        <f t="shared" ref="J7:J33" si="0">+SUM(B7:C7)+H7</f>
        <v>12</v>
      </c>
      <c r="K7" s="1">
        <f t="shared" ref="K7:K33" si="1">+SUM(D7)</f>
        <v>1</v>
      </c>
      <c r="L7" s="1">
        <f t="shared" ref="L7:L33" si="2">+SUM(E7:F7)</f>
        <v>2</v>
      </c>
      <c r="P7" s="21" t="s">
        <v>91</v>
      </c>
      <c r="Q7" s="1">
        <v>1</v>
      </c>
      <c r="T7" s="1">
        <v>2</v>
      </c>
      <c r="V7" s="1">
        <v>3</v>
      </c>
      <c r="W7" s="1">
        <f t="shared" ref="W7:W33" si="3">+SUM(Q7:R7)</f>
        <v>1</v>
      </c>
      <c r="X7" s="1">
        <f t="shared" ref="X7:X33" si="4">+SUM(S7)</f>
        <v>0</v>
      </c>
      <c r="Y7" s="1">
        <f t="shared" ref="Y7:Y33" si="5">+SUM(T7:U7)</f>
        <v>2</v>
      </c>
    </row>
    <row r="8" spans="1:25" x14ac:dyDescent="0.3">
      <c r="A8" s="21" t="s">
        <v>97</v>
      </c>
      <c r="B8" s="1">
        <v>10</v>
      </c>
      <c r="D8" s="1">
        <v>1</v>
      </c>
      <c r="E8" s="1">
        <v>1</v>
      </c>
      <c r="G8" s="1">
        <v>3</v>
      </c>
      <c r="I8" s="1">
        <v>15</v>
      </c>
      <c r="J8" s="1">
        <f t="shared" si="0"/>
        <v>10</v>
      </c>
      <c r="K8" s="1">
        <f t="shared" si="1"/>
        <v>1</v>
      </c>
      <c r="L8" s="1">
        <f t="shared" si="2"/>
        <v>1</v>
      </c>
      <c r="P8" s="21" t="s">
        <v>97</v>
      </c>
      <c r="U8" s="1">
        <v>3</v>
      </c>
      <c r="V8" s="1">
        <v>3</v>
      </c>
      <c r="W8" s="1">
        <f t="shared" si="3"/>
        <v>0</v>
      </c>
      <c r="X8" s="1">
        <f t="shared" si="4"/>
        <v>0</v>
      </c>
      <c r="Y8" s="1">
        <f t="shared" si="5"/>
        <v>3</v>
      </c>
    </row>
    <row r="9" spans="1:25" x14ac:dyDescent="0.3">
      <c r="A9" s="21" t="s">
        <v>93</v>
      </c>
      <c r="B9" s="1">
        <v>11</v>
      </c>
      <c r="D9" s="1">
        <v>1</v>
      </c>
      <c r="G9" s="1">
        <v>3</v>
      </c>
      <c r="I9" s="1">
        <v>15</v>
      </c>
      <c r="J9" s="1">
        <f t="shared" si="0"/>
        <v>11</v>
      </c>
      <c r="K9" s="1">
        <f t="shared" si="1"/>
        <v>1</v>
      </c>
      <c r="L9" s="1">
        <f t="shared" si="2"/>
        <v>0</v>
      </c>
      <c r="P9" s="21" t="s">
        <v>93</v>
      </c>
      <c r="U9" s="1">
        <v>3</v>
      </c>
      <c r="V9" s="1">
        <v>3</v>
      </c>
      <c r="W9" s="1">
        <f t="shared" si="3"/>
        <v>0</v>
      </c>
      <c r="X9" s="1">
        <f t="shared" si="4"/>
        <v>0</v>
      </c>
      <c r="Y9" s="1">
        <f t="shared" si="5"/>
        <v>3</v>
      </c>
    </row>
    <row r="10" spans="1:25" x14ac:dyDescent="0.3">
      <c r="A10" s="21" t="s">
        <v>142</v>
      </c>
      <c r="B10" s="1">
        <v>13</v>
      </c>
      <c r="D10" s="1">
        <v>1</v>
      </c>
      <c r="E10" s="1">
        <v>1</v>
      </c>
      <c r="I10" s="1">
        <v>15</v>
      </c>
      <c r="J10" s="1">
        <f t="shared" si="0"/>
        <v>13</v>
      </c>
      <c r="K10" s="1">
        <f t="shared" si="1"/>
        <v>1</v>
      </c>
      <c r="L10" s="1">
        <f t="shared" si="2"/>
        <v>1</v>
      </c>
      <c r="N10">
        <v>367.2</v>
      </c>
      <c r="P10" s="21" t="s">
        <v>142</v>
      </c>
      <c r="Q10" s="1">
        <v>2</v>
      </c>
      <c r="T10" s="1">
        <v>1</v>
      </c>
      <c r="V10" s="1">
        <v>3</v>
      </c>
      <c r="W10" s="1">
        <f t="shared" si="3"/>
        <v>2</v>
      </c>
      <c r="X10" s="1">
        <f t="shared" si="4"/>
        <v>0</v>
      </c>
      <c r="Y10" s="1">
        <f t="shared" si="5"/>
        <v>1</v>
      </c>
    </row>
    <row r="11" spans="1:25" x14ac:dyDescent="0.3">
      <c r="A11" s="21" t="s">
        <v>89</v>
      </c>
      <c r="B11" s="1">
        <v>4</v>
      </c>
      <c r="E11" s="1">
        <v>11</v>
      </c>
      <c r="I11" s="1">
        <v>15</v>
      </c>
      <c r="J11" s="1">
        <f t="shared" si="0"/>
        <v>4</v>
      </c>
      <c r="K11" s="1">
        <f t="shared" si="1"/>
        <v>0</v>
      </c>
      <c r="L11" s="1">
        <f t="shared" si="2"/>
        <v>11</v>
      </c>
      <c r="N11">
        <v>340.5</v>
      </c>
      <c r="P11" s="21" t="s">
        <v>89</v>
      </c>
      <c r="T11" s="1">
        <v>3</v>
      </c>
      <c r="V11" s="1">
        <v>3</v>
      </c>
      <c r="W11" s="1">
        <f t="shared" si="3"/>
        <v>0</v>
      </c>
      <c r="X11" s="1">
        <f t="shared" si="4"/>
        <v>0</v>
      </c>
      <c r="Y11" s="1">
        <f t="shared" si="5"/>
        <v>3</v>
      </c>
    </row>
    <row r="12" spans="1:25" x14ac:dyDescent="0.3">
      <c r="A12" s="21" t="s">
        <v>87</v>
      </c>
      <c r="B12" s="1">
        <v>12</v>
      </c>
      <c r="D12" s="1">
        <v>3</v>
      </c>
      <c r="I12" s="1">
        <v>15</v>
      </c>
      <c r="J12" s="1">
        <f t="shared" si="0"/>
        <v>12</v>
      </c>
      <c r="K12" s="1">
        <f t="shared" si="1"/>
        <v>3</v>
      </c>
      <c r="L12" s="1">
        <f t="shared" si="2"/>
        <v>0</v>
      </c>
      <c r="P12" s="21" t="s">
        <v>87</v>
      </c>
      <c r="Q12" s="1">
        <v>3</v>
      </c>
      <c r="V12" s="1">
        <v>3</v>
      </c>
      <c r="W12" s="1">
        <f t="shared" si="3"/>
        <v>3</v>
      </c>
      <c r="X12" s="1">
        <f t="shared" si="4"/>
        <v>0</v>
      </c>
      <c r="Y12" s="1">
        <f t="shared" si="5"/>
        <v>0</v>
      </c>
    </row>
    <row r="13" spans="1:25" x14ac:dyDescent="0.3">
      <c r="A13" s="21" t="s">
        <v>101</v>
      </c>
      <c r="B13" s="1">
        <v>11</v>
      </c>
      <c r="D13" s="1">
        <v>1</v>
      </c>
      <c r="E13" s="1">
        <v>2</v>
      </c>
      <c r="H13" s="1">
        <v>1</v>
      </c>
      <c r="I13" s="1">
        <v>15</v>
      </c>
      <c r="J13" s="1">
        <f t="shared" si="0"/>
        <v>12</v>
      </c>
      <c r="K13" s="1">
        <f t="shared" si="1"/>
        <v>1</v>
      </c>
      <c r="L13" s="1">
        <f t="shared" si="2"/>
        <v>2</v>
      </c>
      <c r="P13" s="21" t="s">
        <v>101</v>
      </c>
      <c r="Q13" s="1">
        <v>1</v>
      </c>
      <c r="T13" s="1">
        <v>2</v>
      </c>
      <c r="V13" s="1">
        <v>3</v>
      </c>
      <c r="W13" s="1">
        <f t="shared" si="3"/>
        <v>1</v>
      </c>
      <c r="X13" s="1">
        <f t="shared" si="4"/>
        <v>0</v>
      </c>
      <c r="Y13" s="1">
        <f t="shared" si="5"/>
        <v>2</v>
      </c>
    </row>
    <row r="14" spans="1:25" x14ac:dyDescent="0.3">
      <c r="A14" s="21" t="s">
        <v>94</v>
      </c>
      <c r="B14" s="1">
        <v>11</v>
      </c>
      <c r="D14" s="1">
        <v>1</v>
      </c>
      <c r="E14" s="1">
        <v>2</v>
      </c>
      <c r="F14" s="1">
        <v>1</v>
      </c>
      <c r="I14" s="1">
        <v>15</v>
      </c>
      <c r="J14" s="1">
        <f t="shared" si="0"/>
        <v>11</v>
      </c>
      <c r="K14" s="1">
        <f t="shared" si="1"/>
        <v>1</v>
      </c>
      <c r="L14" s="1">
        <f t="shared" si="2"/>
        <v>3</v>
      </c>
      <c r="P14" s="21" t="s">
        <v>94</v>
      </c>
      <c r="Q14" s="1">
        <v>1</v>
      </c>
      <c r="T14" s="1">
        <v>2</v>
      </c>
      <c r="V14" s="1">
        <v>3</v>
      </c>
      <c r="W14" s="1">
        <f t="shared" si="3"/>
        <v>1</v>
      </c>
      <c r="X14" s="1">
        <f t="shared" si="4"/>
        <v>0</v>
      </c>
      <c r="Y14" s="1">
        <f t="shared" si="5"/>
        <v>2</v>
      </c>
    </row>
    <row r="15" spans="1:25" x14ac:dyDescent="0.3">
      <c r="A15" s="21" t="s">
        <v>81</v>
      </c>
      <c r="B15" s="1">
        <v>14</v>
      </c>
      <c r="D15" s="1">
        <v>1</v>
      </c>
      <c r="I15" s="1">
        <v>15</v>
      </c>
      <c r="J15" s="1">
        <f t="shared" si="0"/>
        <v>14</v>
      </c>
      <c r="K15" s="1">
        <f t="shared" si="1"/>
        <v>1</v>
      </c>
      <c r="L15" s="1">
        <f t="shared" si="2"/>
        <v>0</v>
      </c>
      <c r="P15" s="21" t="s">
        <v>81</v>
      </c>
      <c r="Q15" s="1">
        <v>3</v>
      </c>
      <c r="V15" s="1">
        <v>3</v>
      </c>
      <c r="W15" s="1">
        <f t="shared" si="3"/>
        <v>3</v>
      </c>
      <c r="X15" s="1">
        <f t="shared" si="4"/>
        <v>0</v>
      </c>
      <c r="Y15" s="1">
        <f t="shared" si="5"/>
        <v>0</v>
      </c>
    </row>
    <row r="16" spans="1:25" x14ac:dyDescent="0.3">
      <c r="A16" s="21" t="s">
        <v>154</v>
      </c>
      <c r="B16" s="1">
        <v>11</v>
      </c>
      <c r="D16" s="1">
        <v>1</v>
      </c>
      <c r="G16" s="1">
        <v>3</v>
      </c>
      <c r="I16" s="1">
        <v>15</v>
      </c>
      <c r="J16" s="1">
        <f t="shared" si="0"/>
        <v>11</v>
      </c>
      <c r="K16" s="1">
        <f t="shared" si="1"/>
        <v>1</v>
      </c>
      <c r="L16" s="1">
        <f t="shared" si="2"/>
        <v>0</v>
      </c>
      <c r="P16" s="21" t="s">
        <v>154</v>
      </c>
      <c r="U16" s="1">
        <v>3</v>
      </c>
      <c r="V16" s="1">
        <v>3</v>
      </c>
      <c r="W16" s="1">
        <f t="shared" si="3"/>
        <v>0</v>
      </c>
      <c r="X16" s="1">
        <f t="shared" si="4"/>
        <v>0</v>
      </c>
      <c r="Y16" s="1">
        <f t="shared" si="5"/>
        <v>3</v>
      </c>
    </row>
    <row r="17" spans="1:25" x14ac:dyDescent="0.3">
      <c r="A17" s="21" t="s">
        <v>151</v>
      </c>
      <c r="B17" s="1">
        <v>7</v>
      </c>
      <c r="D17" s="1">
        <v>4</v>
      </c>
      <c r="E17" s="1">
        <v>4</v>
      </c>
      <c r="I17" s="1">
        <v>15</v>
      </c>
      <c r="J17" s="1">
        <f t="shared" si="0"/>
        <v>7</v>
      </c>
      <c r="K17" s="1">
        <f t="shared" si="1"/>
        <v>4</v>
      </c>
      <c r="L17" s="1">
        <f t="shared" si="2"/>
        <v>4</v>
      </c>
      <c r="P17" s="21" t="s">
        <v>151</v>
      </c>
      <c r="S17" s="1">
        <v>2</v>
      </c>
      <c r="T17" s="1">
        <v>1</v>
      </c>
      <c r="V17" s="1">
        <v>3</v>
      </c>
      <c r="W17" s="1">
        <f t="shared" si="3"/>
        <v>0</v>
      </c>
      <c r="X17" s="1">
        <f t="shared" si="4"/>
        <v>2</v>
      </c>
      <c r="Y17" s="1">
        <f t="shared" si="5"/>
        <v>1</v>
      </c>
    </row>
    <row r="18" spans="1:25" x14ac:dyDescent="0.3">
      <c r="A18" s="21" t="s">
        <v>96</v>
      </c>
      <c r="B18" s="1">
        <v>5</v>
      </c>
      <c r="G18" s="1">
        <v>10</v>
      </c>
      <c r="I18" s="1">
        <v>15</v>
      </c>
      <c r="J18" s="1">
        <f t="shared" si="0"/>
        <v>5</v>
      </c>
      <c r="K18" s="1">
        <f t="shared" si="1"/>
        <v>0</v>
      </c>
      <c r="L18" s="1">
        <f t="shared" si="2"/>
        <v>0</v>
      </c>
      <c r="P18" s="21" t="s">
        <v>96</v>
      </c>
      <c r="U18" s="1">
        <v>3</v>
      </c>
      <c r="V18" s="1">
        <v>3</v>
      </c>
      <c r="W18" s="1">
        <f t="shared" si="3"/>
        <v>0</v>
      </c>
      <c r="X18" s="1">
        <f t="shared" si="4"/>
        <v>0</v>
      </c>
      <c r="Y18" s="1">
        <f t="shared" si="5"/>
        <v>3</v>
      </c>
    </row>
    <row r="19" spans="1:25" x14ac:dyDescent="0.3">
      <c r="A19" s="21" t="s">
        <v>74</v>
      </c>
      <c r="B19" s="1">
        <v>4</v>
      </c>
      <c r="E19" s="1">
        <v>11</v>
      </c>
      <c r="I19" s="1">
        <v>15</v>
      </c>
      <c r="J19" s="1">
        <f t="shared" si="0"/>
        <v>4</v>
      </c>
      <c r="K19" s="1">
        <f t="shared" si="1"/>
        <v>0</v>
      </c>
      <c r="L19" s="1">
        <f t="shared" si="2"/>
        <v>11</v>
      </c>
      <c r="P19" s="21" t="s">
        <v>74</v>
      </c>
      <c r="T19" s="1">
        <v>3</v>
      </c>
      <c r="V19" s="1">
        <v>3</v>
      </c>
      <c r="W19" s="1">
        <f t="shared" si="3"/>
        <v>0</v>
      </c>
      <c r="X19" s="1">
        <f t="shared" si="4"/>
        <v>0</v>
      </c>
      <c r="Y19" s="1">
        <f t="shared" si="5"/>
        <v>3</v>
      </c>
    </row>
    <row r="20" spans="1:25" x14ac:dyDescent="0.3">
      <c r="A20" s="21" t="s">
        <v>80</v>
      </c>
      <c r="B20" s="1">
        <v>14</v>
      </c>
      <c r="D20" s="1">
        <v>1</v>
      </c>
      <c r="I20" s="1">
        <v>15</v>
      </c>
      <c r="J20" s="1">
        <f t="shared" si="0"/>
        <v>14</v>
      </c>
      <c r="K20" s="1">
        <f t="shared" si="1"/>
        <v>1</v>
      </c>
      <c r="L20" s="1">
        <f t="shared" si="2"/>
        <v>0</v>
      </c>
      <c r="P20" s="21" t="s">
        <v>80</v>
      </c>
      <c r="Q20" s="1">
        <v>3</v>
      </c>
      <c r="V20" s="1">
        <v>3</v>
      </c>
      <c r="W20" s="1">
        <f t="shared" si="3"/>
        <v>3</v>
      </c>
      <c r="X20" s="1">
        <f t="shared" si="4"/>
        <v>0</v>
      </c>
      <c r="Y20" s="1">
        <f t="shared" si="5"/>
        <v>0</v>
      </c>
    </row>
    <row r="21" spans="1:25" x14ac:dyDescent="0.3">
      <c r="A21" s="21" t="s">
        <v>82</v>
      </c>
      <c r="B21" s="1">
        <v>14</v>
      </c>
      <c r="D21" s="1">
        <v>1</v>
      </c>
      <c r="I21" s="1">
        <v>15</v>
      </c>
      <c r="J21" s="1">
        <f t="shared" si="0"/>
        <v>14</v>
      </c>
      <c r="K21" s="1">
        <f t="shared" si="1"/>
        <v>1</v>
      </c>
      <c r="L21" s="1">
        <f t="shared" si="2"/>
        <v>0</v>
      </c>
      <c r="P21" s="21" t="s">
        <v>82</v>
      </c>
      <c r="Q21" s="1">
        <v>3</v>
      </c>
      <c r="V21" s="1">
        <v>3</v>
      </c>
      <c r="W21" s="1">
        <f t="shared" si="3"/>
        <v>3</v>
      </c>
      <c r="X21" s="1">
        <f t="shared" si="4"/>
        <v>0</v>
      </c>
      <c r="Y21" s="1">
        <f t="shared" si="5"/>
        <v>0</v>
      </c>
    </row>
    <row r="22" spans="1:25" x14ac:dyDescent="0.3">
      <c r="A22" s="21" t="s">
        <v>146</v>
      </c>
      <c r="B22" s="1">
        <v>12</v>
      </c>
      <c r="D22" s="1">
        <v>1</v>
      </c>
      <c r="E22" s="1">
        <v>2</v>
      </c>
      <c r="I22" s="1">
        <v>15</v>
      </c>
      <c r="J22" s="1">
        <f t="shared" si="0"/>
        <v>12</v>
      </c>
      <c r="K22" s="1">
        <f t="shared" si="1"/>
        <v>1</v>
      </c>
      <c r="L22" s="1">
        <f t="shared" si="2"/>
        <v>2</v>
      </c>
      <c r="P22" s="21" t="s">
        <v>146</v>
      </c>
      <c r="Q22" s="1">
        <v>1</v>
      </c>
      <c r="T22" s="1">
        <v>2</v>
      </c>
      <c r="V22" s="1">
        <v>3</v>
      </c>
      <c r="W22" s="1">
        <f t="shared" si="3"/>
        <v>1</v>
      </c>
      <c r="X22" s="1">
        <f t="shared" si="4"/>
        <v>0</v>
      </c>
      <c r="Y22" s="1">
        <f t="shared" si="5"/>
        <v>2</v>
      </c>
    </row>
    <row r="23" spans="1:25" x14ac:dyDescent="0.3">
      <c r="A23" s="21" t="s">
        <v>143</v>
      </c>
      <c r="B23" s="1">
        <v>13</v>
      </c>
      <c r="D23" s="1">
        <v>1</v>
      </c>
      <c r="E23" s="1">
        <v>1</v>
      </c>
      <c r="I23" s="1">
        <v>15</v>
      </c>
      <c r="J23" s="1">
        <f t="shared" si="0"/>
        <v>13</v>
      </c>
      <c r="K23" s="1">
        <f t="shared" si="1"/>
        <v>1</v>
      </c>
      <c r="L23" s="1">
        <f t="shared" si="2"/>
        <v>1</v>
      </c>
      <c r="P23" s="21" t="s">
        <v>143</v>
      </c>
      <c r="Q23" s="1">
        <v>2</v>
      </c>
      <c r="T23" s="1">
        <v>1</v>
      </c>
      <c r="V23" s="1">
        <v>3</v>
      </c>
      <c r="W23" s="1">
        <f t="shared" si="3"/>
        <v>2</v>
      </c>
      <c r="X23" s="1">
        <f t="shared" si="4"/>
        <v>0</v>
      </c>
      <c r="Y23" s="1">
        <f t="shared" si="5"/>
        <v>1</v>
      </c>
    </row>
    <row r="24" spans="1:25" x14ac:dyDescent="0.3">
      <c r="A24" s="21" t="s">
        <v>149</v>
      </c>
      <c r="B24" s="1">
        <v>12</v>
      </c>
      <c r="D24" s="1">
        <v>3</v>
      </c>
      <c r="I24" s="1">
        <v>15</v>
      </c>
      <c r="J24" s="1">
        <f t="shared" si="0"/>
        <v>12</v>
      </c>
      <c r="K24" s="1">
        <f t="shared" si="1"/>
        <v>3</v>
      </c>
      <c r="L24" s="1">
        <f t="shared" si="2"/>
        <v>0</v>
      </c>
      <c r="P24" s="21" t="s">
        <v>149</v>
      </c>
      <c r="Q24" s="1">
        <v>1</v>
      </c>
      <c r="S24" s="1">
        <v>2</v>
      </c>
      <c r="V24" s="1">
        <v>3</v>
      </c>
      <c r="W24" s="1">
        <f t="shared" si="3"/>
        <v>1</v>
      </c>
      <c r="X24" s="1">
        <f t="shared" si="4"/>
        <v>2</v>
      </c>
      <c r="Y24" s="1">
        <f t="shared" si="5"/>
        <v>0</v>
      </c>
    </row>
    <row r="25" spans="1:25" x14ac:dyDescent="0.3">
      <c r="A25" s="21" t="s">
        <v>78</v>
      </c>
      <c r="B25" s="1">
        <v>13</v>
      </c>
      <c r="D25" s="1">
        <v>2</v>
      </c>
      <c r="I25" s="1">
        <v>15</v>
      </c>
      <c r="J25" s="1">
        <f t="shared" si="0"/>
        <v>13</v>
      </c>
      <c r="K25" s="1">
        <f t="shared" si="1"/>
        <v>2</v>
      </c>
      <c r="L25" s="1">
        <f t="shared" si="2"/>
        <v>0</v>
      </c>
      <c r="P25" s="21" t="s">
        <v>78</v>
      </c>
      <c r="Q25" s="1">
        <v>2</v>
      </c>
      <c r="S25" s="1">
        <v>1</v>
      </c>
      <c r="V25" s="1">
        <v>3</v>
      </c>
      <c r="W25" s="1">
        <f t="shared" si="3"/>
        <v>2</v>
      </c>
      <c r="X25" s="1">
        <f t="shared" si="4"/>
        <v>1</v>
      </c>
      <c r="Y25" s="1">
        <f t="shared" si="5"/>
        <v>0</v>
      </c>
    </row>
    <row r="26" spans="1:25" x14ac:dyDescent="0.3">
      <c r="A26" s="21" t="s">
        <v>147</v>
      </c>
      <c r="B26" s="1">
        <v>13</v>
      </c>
      <c r="D26" s="1">
        <v>2</v>
      </c>
      <c r="I26" s="1">
        <v>15</v>
      </c>
      <c r="J26" s="1">
        <f t="shared" si="0"/>
        <v>13</v>
      </c>
      <c r="K26" s="1">
        <f t="shared" si="1"/>
        <v>2</v>
      </c>
      <c r="L26" s="1">
        <f t="shared" si="2"/>
        <v>0</v>
      </c>
      <c r="P26" s="21" t="s">
        <v>147</v>
      </c>
      <c r="Q26" s="1">
        <v>2</v>
      </c>
      <c r="S26" s="1">
        <v>1</v>
      </c>
      <c r="V26" s="1">
        <v>3</v>
      </c>
      <c r="W26" s="1">
        <f t="shared" si="3"/>
        <v>2</v>
      </c>
      <c r="X26" s="1">
        <f t="shared" si="4"/>
        <v>1</v>
      </c>
      <c r="Y26" s="1">
        <f t="shared" si="5"/>
        <v>0</v>
      </c>
    </row>
    <row r="27" spans="1:25" x14ac:dyDescent="0.3">
      <c r="A27" s="21" t="s">
        <v>141</v>
      </c>
      <c r="B27" s="1">
        <v>13</v>
      </c>
      <c r="C27" s="1">
        <v>1</v>
      </c>
      <c r="D27" s="1">
        <v>1</v>
      </c>
      <c r="I27" s="1">
        <v>15</v>
      </c>
      <c r="J27" s="1">
        <f t="shared" si="0"/>
        <v>14</v>
      </c>
      <c r="K27" s="1">
        <f t="shared" si="1"/>
        <v>1</v>
      </c>
      <c r="L27" s="1">
        <f t="shared" si="2"/>
        <v>0</v>
      </c>
      <c r="P27" s="21" t="s">
        <v>141</v>
      </c>
      <c r="Q27" s="1">
        <v>1</v>
      </c>
      <c r="R27" s="1">
        <v>1</v>
      </c>
      <c r="S27" s="1">
        <v>1</v>
      </c>
      <c r="V27" s="1">
        <v>3</v>
      </c>
      <c r="W27" s="1">
        <f t="shared" si="3"/>
        <v>2</v>
      </c>
      <c r="X27" s="1">
        <f t="shared" si="4"/>
        <v>1</v>
      </c>
      <c r="Y27" s="1">
        <f t="shared" si="5"/>
        <v>0</v>
      </c>
    </row>
    <row r="28" spans="1:25" x14ac:dyDescent="0.3">
      <c r="A28" s="21" t="s">
        <v>157</v>
      </c>
      <c r="B28" s="1">
        <v>12</v>
      </c>
      <c r="D28" s="1">
        <v>1</v>
      </c>
      <c r="E28" s="1">
        <v>2</v>
      </c>
      <c r="I28" s="1">
        <v>15</v>
      </c>
      <c r="J28" s="1">
        <f t="shared" si="0"/>
        <v>12</v>
      </c>
      <c r="K28" s="1">
        <f t="shared" si="1"/>
        <v>1</v>
      </c>
      <c r="L28" s="1">
        <f t="shared" si="2"/>
        <v>2</v>
      </c>
      <c r="P28" s="21" t="s">
        <v>157</v>
      </c>
      <c r="Q28" s="1">
        <v>1</v>
      </c>
      <c r="T28" s="1">
        <v>2</v>
      </c>
      <c r="V28" s="1">
        <v>3</v>
      </c>
      <c r="W28" s="1">
        <f t="shared" si="3"/>
        <v>1</v>
      </c>
      <c r="X28" s="1">
        <f t="shared" si="4"/>
        <v>0</v>
      </c>
      <c r="Y28" s="1">
        <f t="shared" si="5"/>
        <v>2</v>
      </c>
    </row>
    <row r="29" spans="1:25" x14ac:dyDescent="0.3">
      <c r="A29" s="21" t="s">
        <v>144</v>
      </c>
      <c r="B29" s="1">
        <v>13</v>
      </c>
      <c r="D29" s="1">
        <v>1</v>
      </c>
      <c r="E29" s="1">
        <v>1</v>
      </c>
      <c r="I29" s="1">
        <v>15</v>
      </c>
      <c r="J29" s="1">
        <f t="shared" si="0"/>
        <v>13</v>
      </c>
      <c r="K29" s="1">
        <f t="shared" si="1"/>
        <v>1</v>
      </c>
      <c r="L29" s="1">
        <f t="shared" si="2"/>
        <v>1</v>
      </c>
      <c r="P29" s="21" t="s">
        <v>144</v>
      </c>
      <c r="Q29" s="1">
        <v>2</v>
      </c>
      <c r="T29" s="1">
        <v>1</v>
      </c>
      <c r="V29" s="1">
        <v>3</v>
      </c>
      <c r="W29" s="1">
        <f t="shared" si="3"/>
        <v>2</v>
      </c>
      <c r="X29" s="1">
        <f t="shared" si="4"/>
        <v>0</v>
      </c>
      <c r="Y29" s="1">
        <f t="shared" si="5"/>
        <v>1</v>
      </c>
    </row>
    <row r="30" spans="1:25" x14ac:dyDescent="0.3">
      <c r="A30" s="21" t="s">
        <v>100</v>
      </c>
      <c r="B30" s="1">
        <v>11</v>
      </c>
      <c r="D30" s="1">
        <v>1</v>
      </c>
      <c r="E30" s="1">
        <v>2</v>
      </c>
      <c r="H30" s="1">
        <v>1</v>
      </c>
      <c r="I30" s="1">
        <v>15</v>
      </c>
      <c r="J30" s="1">
        <f t="shared" si="0"/>
        <v>12</v>
      </c>
      <c r="K30" s="1">
        <f t="shared" si="1"/>
        <v>1</v>
      </c>
      <c r="L30" s="1">
        <f t="shared" si="2"/>
        <v>2</v>
      </c>
      <c r="P30" s="21" t="s">
        <v>100</v>
      </c>
      <c r="Q30" s="1">
        <v>1</v>
      </c>
      <c r="T30" s="1">
        <v>2</v>
      </c>
      <c r="V30" s="1">
        <v>3</v>
      </c>
      <c r="W30" s="1">
        <f t="shared" si="3"/>
        <v>1</v>
      </c>
      <c r="X30" s="1">
        <f t="shared" si="4"/>
        <v>0</v>
      </c>
      <c r="Y30" s="1">
        <f t="shared" si="5"/>
        <v>2</v>
      </c>
    </row>
    <row r="31" spans="1:25" x14ac:dyDescent="0.3">
      <c r="A31" s="21" t="s">
        <v>145</v>
      </c>
      <c r="B31" s="1">
        <v>11</v>
      </c>
      <c r="D31" s="1">
        <v>1</v>
      </c>
      <c r="E31" s="1">
        <v>2</v>
      </c>
      <c r="H31" s="1">
        <v>1</v>
      </c>
      <c r="I31" s="1">
        <v>15</v>
      </c>
      <c r="J31" s="1">
        <f t="shared" si="0"/>
        <v>12</v>
      </c>
      <c r="K31" s="1">
        <f t="shared" si="1"/>
        <v>1</v>
      </c>
      <c r="L31" s="1">
        <f t="shared" si="2"/>
        <v>2</v>
      </c>
      <c r="P31" s="21" t="s">
        <v>145</v>
      </c>
      <c r="Q31" s="1">
        <v>1</v>
      </c>
      <c r="T31" s="1">
        <v>2</v>
      </c>
      <c r="V31" s="1">
        <v>3</v>
      </c>
      <c r="W31" s="1">
        <f t="shared" si="3"/>
        <v>1</v>
      </c>
      <c r="X31" s="1">
        <f t="shared" si="4"/>
        <v>0</v>
      </c>
      <c r="Y31" s="1">
        <f t="shared" si="5"/>
        <v>2</v>
      </c>
    </row>
    <row r="32" spans="1:25" x14ac:dyDescent="0.3">
      <c r="A32" s="21" t="s">
        <v>148</v>
      </c>
      <c r="B32" s="1">
        <v>13</v>
      </c>
      <c r="D32" s="1">
        <v>2</v>
      </c>
      <c r="I32" s="1">
        <v>15</v>
      </c>
      <c r="J32" s="1">
        <f t="shared" si="0"/>
        <v>13</v>
      </c>
      <c r="K32" s="1">
        <f t="shared" si="1"/>
        <v>2</v>
      </c>
      <c r="L32" s="1">
        <f t="shared" si="2"/>
        <v>0</v>
      </c>
      <c r="P32" s="21" t="s">
        <v>148</v>
      </c>
      <c r="Q32" s="1">
        <v>2</v>
      </c>
      <c r="S32" s="1">
        <v>1</v>
      </c>
      <c r="V32" s="1">
        <v>3</v>
      </c>
      <c r="W32" s="1">
        <f t="shared" si="3"/>
        <v>2</v>
      </c>
      <c r="X32" s="1">
        <f t="shared" si="4"/>
        <v>1</v>
      </c>
      <c r="Y32" s="1">
        <f t="shared" si="5"/>
        <v>0</v>
      </c>
    </row>
    <row r="33" spans="1:25" x14ac:dyDescent="0.3">
      <c r="A33" s="21" t="s">
        <v>158</v>
      </c>
      <c r="B33" s="1">
        <v>2</v>
      </c>
      <c r="E33" s="1">
        <v>13</v>
      </c>
      <c r="I33" s="1">
        <v>15</v>
      </c>
      <c r="J33" s="1">
        <f t="shared" si="0"/>
        <v>2</v>
      </c>
      <c r="K33" s="1">
        <f t="shared" si="1"/>
        <v>0</v>
      </c>
      <c r="L33" s="1">
        <f t="shared" si="2"/>
        <v>13</v>
      </c>
      <c r="P33" s="21" t="s">
        <v>158</v>
      </c>
      <c r="T33" s="1">
        <v>3</v>
      </c>
      <c r="V33" s="1">
        <v>3</v>
      </c>
      <c r="W33" s="1">
        <f t="shared" si="3"/>
        <v>0</v>
      </c>
      <c r="X33" s="1">
        <f t="shared" si="4"/>
        <v>0</v>
      </c>
      <c r="Y33" s="1">
        <f t="shared" si="5"/>
        <v>3</v>
      </c>
    </row>
    <row r="34" spans="1:25" x14ac:dyDescent="0.3">
      <c r="A34" s="21" t="s">
        <v>108</v>
      </c>
      <c r="B34" s="1">
        <v>296</v>
      </c>
      <c r="C34" s="1">
        <v>1</v>
      </c>
      <c r="D34" s="1">
        <v>33</v>
      </c>
      <c r="E34" s="1">
        <v>66</v>
      </c>
      <c r="F34" s="1">
        <v>1</v>
      </c>
      <c r="G34" s="1">
        <v>19</v>
      </c>
      <c r="H34" s="1">
        <v>4</v>
      </c>
      <c r="I34" s="1">
        <v>420</v>
      </c>
      <c r="P34" s="21" t="s">
        <v>108</v>
      </c>
      <c r="Q34" s="1">
        <v>33</v>
      </c>
      <c r="R34" s="1">
        <v>1</v>
      </c>
      <c r="S34" s="1">
        <v>8</v>
      </c>
      <c r="T34" s="1">
        <v>30</v>
      </c>
      <c r="U34" s="1">
        <v>12</v>
      </c>
      <c r="V34" s="1">
        <v>84</v>
      </c>
      <c r="W34"/>
      <c r="X3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activeCell="H2" sqref="H2"/>
    </sheetView>
  </sheetViews>
  <sheetFormatPr defaultColWidth="8.88671875" defaultRowHeight="14.4" x14ac:dyDescent="0.3"/>
  <sheetData>
    <row r="1" spans="1:8" x14ac:dyDescent="0.3">
      <c r="A1" t="s">
        <v>1</v>
      </c>
      <c r="B1" t="s">
        <v>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1:8" x14ac:dyDescent="0.3">
      <c r="E2">
        <f>B2+C2</f>
        <v>0</v>
      </c>
      <c r="F2">
        <f>(E2*0.5/6)*D2</f>
        <v>0</v>
      </c>
      <c r="G2">
        <f>F2*0.09</f>
        <v>0</v>
      </c>
      <c r="H2">
        <f>F2+G2</f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H2" sqref="H2"/>
    </sheetView>
  </sheetViews>
  <sheetFormatPr defaultColWidth="8.88671875" defaultRowHeight="14.4" x14ac:dyDescent="0.3"/>
  <sheetData>
    <row r="1" spans="1:8" x14ac:dyDescent="0.3">
      <c r="A1" t="s">
        <v>1</v>
      </c>
      <c r="B1" t="s">
        <v>2</v>
      </c>
      <c r="C1" t="s">
        <v>13</v>
      </c>
      <c r="D1" t="s">
        <v>14</v>
      </c>
      <c r="E1" t="s">
        <v>15</v>
      </c>
      <c r="F1" t="s">
        <v>19</v>
      </c>
      <c r="G1" t="s">
        <v>20</v>
      </c>
      <c r="H1" t="s">
        <v>21</v>
      </c>
    </row>
    <row r="2" spans="1:8" x14ac:dyDescent="0.3">
      <c r="E2">
        <f>B2+C2</f>
        <v>0</v>
      </c>
      <c r="F2">
        <f>(B2*0.5)/6</f>
        <v>0</v>
      </c>
      <c r="G2">
        <f>E2+F2</f>
        <v>0</v>
      </c>
      <c r="H2">
        <f>(G2/12*D2)/2</f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activeCell="H2" sqref="H2"/>
    </sheetView>
  </sheetViews>
  <sheetFormatPr defaultColWidth="8.88671875" defaultRowHeight="14.4" x14ac:dyDescent="0.3"/>
  <cols>
    <col min="1" max="1" width="20.109375" bestFit="1" customWidth="1"/>
  </cols>
  <sheetData>
    <row r="1" spans="1:2" x14ac:dyDescent="0.3">
      <c r="A1" t="s">
        <v>22</v>
      </c>
      <c r="B1">
        <f>SUM('Planilla Mensual'!AI:AI)</f>
        <v>12468.999999999998</v>
      </c>
    </row>
    <row r="2" spans="1:2" x14ac:dyDescent="0.3">
      <c r="A2" t="s">
        <v>23</v>
      </c>
      <c r="B2">
        <f>SUM('Planilla Mensual'!AU:AU)</f>
        <v>101.7</v>
      </c>
    </row>
    <row r="3" spans="1:2" x14ac:dyDescent="0.3">
      <c r="A3" t="s">
        <v>24</v>
      </c>
      <c r="B3">
        <f>SUM('Planilla Mensual'!AT:AT)</f>
        <v>7302</v>
      </c>
    </row>
    <row r="4" spans="1:2" x14ac:dyDescent="0.3">
      <c r="A4" t="s">
        <v>25</v>
      </c>
      <c r="B4">
        <f>SUM(Gratificaciones!H:H)</f>
        <v>0</v>
      </c>
    </row>
    <row r="5" spans="1:2" x14ac:dyDescent="0.3">
      <c r="A5" t="s">
        <v>26</v>
      </c>
      <c r="B5">
        <f>SUM(CTS!H:H)</f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ED226B-0053-433E-B9C8-793236035D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Listas</vt:lpstr>
      <vt:lpstr>Presentación</vt:lpstr>
      <vt:lpstr>Planilla Mensual</vt:lpstr>
      <vt:lpstr>Base costo planilla</vt:lpstr>
      <vt:lpstr>BD Asistencia</vt:lpstr>
      <vt:lpstr>Resumen asistencia</vt:lpstr>
      <vt:lpstr>Gratificaciones</vt:lpstr>
      <vt:lpstr>CTS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Wilson Alexis Oberluis Cabrera</cp:lastModifiedBy>
  <dcterms:created xsi:type="dcterms:W3CDTF">2026-04-06T17:07:53Z</dcterms:created>
  <dcterms:modified xsi:type="dcterms:W3CDTF">2026-05-19T16:29:14Z</dcterms:modified>
</cp:coreProperties>
</file>